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ition Size" sheetId="1" state="visible" r:id="rId3"/>
    <sheet name="Trade Journal" sheetId="2" state="visible" r:id="rId4"/>
    <sheet name="Summary" sheetId="3" state="visible" r:id="rId5"/>
    <sheet name="Meme Coin Checklist" sheetId="4" state="visible" r:id="rId6"/>
    <sheet name="Polymarket Lo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5" authorId="0">
      <text>
        <r>
          <rPr>
            <sz val="10"/>
            <rFont val="Arial"/>
            <family val="2"/>
          </rPr>
          <t xml:space="preserve">Estimated: $0.2362 / 1.58. Your real entry price is in your Coinbase order history.</t>
        </r>
      </text>
    </comment>
  </commentList>
</comments>
</file>

<file path=xl/sharedStrings.xml><?xml version="1.0" encoding="utf-8"?>
<sst xmlns="http://schemas.openxmlformats.org/spreadsheetml/2006/main" count="138" uniqueCount="126">
  <si>
    <t xml:space="preserve">Position Size Calculator</t>
  </si>
  <si>
    <t xml:space="preserve">Edit the yellow cells (blue text). Everything else is calculated.</t>
  </si>
  <si>
    <t xml:space="preserve">INPUTS</t>
  </si>
  <si>
    <t xml:space="preserve">Account balance ($)</t>
  </si>
  <si>
    <t xml:space="preserve">Your $50 start + $29 profit (from you).</t>
  </si>
  <si>
    <t xml:space="preserve">Risk per trade (% of account)</t>
  </si>
  <si>
    <t xml:space="preserve">How much of the account you accept losing if the stop is hit. 1-2% is standard; 5% is a practical floor on a very small account.</t>
  </si>
  <si>
    <t xml:space="preserve">Entry price ($)</t>
  </si>
  <si>
    <t xml:space="preserve">GTC price from your screenshot.</t>
  </si>
  <si>
    <t xml:space="preserve">Stop-loss price ($)</t>
  </si>
  <si>
    <t xml:space="preserve">Below the most recent pullback low on the chart (example).</t>
  </si>
  <si>
    <t xml:space="preserve">Target price ($)</t>
  </si>
  <si>
    <t xml:space="preserve">Example: near the 24H spike high.</t>
  </si>
  <si>
    <t xml:space="preserve">Fee per side (%)</t>
  </si>
  <si>
    <t xml:space="preserve">Assumption: Coinbase Advanced taker fee at the lowest volume tier (~0.6%). Simple Buy/Sell in the app costs more; check your actual fee.</t>
  </si>
  <si>
    <t xml:space="preserve">RESULTS</t>
  </si>
  <si>
    <t xml:space="preserve">Max $ you're willing to lose</t>
  </si>
  <si>
    <t xml:space="preserve">Loss per coin if stopped out (incl. fees)</t>
  </si>
  <si>
    <t xml:space="preserve">Price distance to stop plus the fee paid on both the buy and the sell.</t>
  </si>
  <si>
    <t xml:space="preserve">Coins to buy (risk-based)</t>
  </si>
  <si>
    <t xml:space="preserve">Position size ($) — capped at account balance</t>
  </si>
  <si>
    <t xml:space="preserve">If the risk-based size is bigger than your account, it's limited to what you have.</t>
  </si>
  <si>
    <t xml:space="preserve">Coins to buy (after cap)</t>
  </si>
  <si>
    <t xml:space="preserve">Position as % of account</t>
  </si>
  <si>
    <t xml:space="preserve">Net loss if stop is hit ($)</t>
  </si>
  <si>
    <t xml:space="preserve">Net profit if target is hit ($)</t>
  </si>
  <si>
    <t xml:space="preserve">Reward : risk ratio</t>
  </si>
  <si>
    <t xml:space="preserve">How many dollars you aim to make for each dollar you risk.</t>
  </si>
  <si>
    <t xml:space="preserve">Trade worth taking? (needs 2x or better)</t>
  </si>
  <si>
    <t xml:space="preserve">Trade Journal</t>
  </si>
  <si>
    <t xml:space="preserve">Fill in the blue columns for each trade. Grey columns calculate automatically once Exit Price is entered. Row 5 is an example: your GTC position marked at today's $0.2362 — replace it with your real fills.</t>
  </si>
  <si>
    <t xml:space="preserve">#</t>
  </si>
  <si>
    <t xml:space="preserve">Entry Date</t>
  </si>
  <si>
    <t xml:space="preserve">Coin</t>
  </si>
  <si>
    <t xml:space="preserve">Entry Price ($)</t>
  </si>
  <si>
    <t xml:space="preserve">Stop ($)</t>
  </si>
  <si>
    <t xml:space="preserve">Target ($)</t>
  </si>
  <si>
    <t xml:space="preserve">Quantity</t>
  </si>
  <si>
    <t xml:space="preserve">Cost ($)</t>
  </si>
  <si>
    <t xml:space="preserve">Exit Date</t>
  </si>
  <si>
    <t xml:space="preserve">Exit Price ($)</t>
  </si>
  <si>
    <t xml:space="preserve">Fees ($)</t>
  </si>
  <si>
    <t xml:space="preserve">Net P/L ($)</t>
  </si>
  <si>
    <t xml:space="preserve">Return %</t>
  </si>
  <si>
    <t xml:space="preserve">R Multiple</t>
  </si>
  <si>
    <t xml:space="preserve">Planned R:R</t>
  </si>
  <si>
    <t xml:space="preserve">Setup / Reason</t>
  </si>
  <si>
    <t xml:space="preserve">Followed Plan?</t>
  </si>
  <si>
    <t xml:space="preserve">Notes / Lesson</t>
  </si>
  <si>
    <t xml:space="preserve">GTC</t>
  </si>
  <si>
    <t xml:space="preserve">EXAMPLE — entry back-solved from $50 → $79 (+58%)</t>
  </si>
  <si>
    <t xml:space="preserve">Y</t>
  </si>
  <si>
    <t xml:space="preserve">Exit = today's price, not a real sale. Replace with your actual numbers.</t>
  </si>
  <si>
    <t xml:space="preserve">Performance Summary</t>
  </si>
  <si>
    <t xml:space="preserve">Only closed trades (with an Exit Price) are counted.</t>
  </si>
  <si>
    <t xml:space="preserve">Starting balance ($)</t>
  </si>
  <si>
    <t xml:space="preserve">Your original investment (from you).</t>
  </si>
  <si>
    <t xml:space="preserve">Closed trades</t>
  </si>
  <si>
    <t xml:space="preserve">Winners</t>
  </si>
  <si>
    <t xml:space="preserve">Losers</t>
  </si>
  <si>
    <t xml:space="preserve">Win rate</t>
  </si>
  <si>
    <t xml:space="preserve">Current balance ($)</t>
  </si>
  <si>
    <t xml:space="preserve">Total return on starting balance</t>
  </si>
  <si>
    <t xml:space="preserve">Average win ($)</t>
  </si>
  <si>
    <t xml:space="preserve">Average loss ($)</t>
  </si>
  <si>
    <t xml:space="preserve">Profit factor (gross wins ÷ gross losses)</t>
  </si>
  <si>
    <t xml:space="preserve">Average R multiple</t>
  </si>
  <si>
    <t xml:space="preserve">Largest win ($)</t>
  </si>
  <si>
    <t xml:space="preserve">Largest loss ($)</t>
  </si>
  <si>
    <t xml:space="preserve">Trades where plan was followed</t>
  </si>
  <si>
    <t xml:space="preserve">How to read it</t>
  </si>
  <si>
    <t xml:space="preserve">• Profit factor above 1.5 and average R above 0.3 after ~20 trades suggests a real edge.</t>
  </si>
  <si>
    <t xml:space="preserve">• A high win rate with a profit factor below 1 means your losses are bigger than your wins — tighten stops.</t>
  </si>
  <si>
    <t xml:space="preserve">• If 'plan followed' is low, the problem is discipline, not the strategy.</t>
  </si>
  <si>
    <t xml:space="preserve">Meme Coin Pre-Trade Checklist</t>
  </si>
  <si>
    <t xml:space="preserve">Fill in one row BEFORE every Solana meme-coin buy. Answer Y or N in the blue columns. Verdict is GO only if every check is Y. Row 6 is an example.</t>
  </si>
  <si>
    <t xml:space="preserve">Rules: $5 per trade · max 3 trades/day · sell half at 2x · exit everything at -50% or if dev sells · never re-buy a coin after a loss.</t>
  </si>
  <si>
    <t xml:space="preserve">Date</t>
  </si>
  <si>
    <t xml:space="preserve">Contract Address</t>
  </si>
  <si>
    <t xml:space="preserve">Mint Revoked?</t>
  </si>
  <si>
    <t xml:space="preserve">Freeze Revoked?</t>
  </si>
  <si>
    <t xml:space="preserve">Top 10 &lt; 30%?</t>
  </si>
  <si>
    <t xml:space="preserve">No Bundled Launch?</t>
  </si>
  <si>
    <t xml:space="preserve">Dev Not Selling?</t>
  </si>
  <si>
    <t xml:space="preserve">Age ≥ 30 min?</t>
  </si>
  <si>
    <t xml:space="preserve">Holders ≥ 200?</t>
  </si>
  <si>
    <t xml:space="preserve">Size ≤ $5?</t>
  </si>
  <si>
    <t xml:space="preserve">≤ 3 Trades Today?</t>
  </si>
  <si>
    <t xml:space="preserve">Checks Passed</t>
  </si>
  <si>
    <t xml:space="preserve">Verdict</t>
  </si>
  <si>
    <t xml:space="preserve">Notes</t>
  </si>
  <si>
    <t xml:space="preserve">EXAMPLE</t>
  </si>
  <si>
    <t xml:space="preserve">(paste from RugCheck)</t>
  </si>
  <si>
    <t xml:space="preserve">N</t>
  </si>
  <si>
    <t xml:space="preserve">Top 10 hold 41% — skip it. Example row; delete or overwrite.</t>
  </si>
  <si>
    <t xml:space="preserve">Polymarket Log</t>
  </si>
  <si>
    <t xml:space="preserve">Write YOUR probability before looking at the price. Prices are entered as cents (e.g. 42 for 42¢). Outcome: Won / Lost / Open. Row 9 is an example.</t>
  </si>
  <si>
    <t xml:space="preserve">Starting budget ($)</t>
  </si>
  <si>
    <t xml:space="preserve">From the plan: $9 of your $29 experiment budget.</t>
  </si>
  <si>
    <t xml:space="preserve">Calibration (Brier score)</t>
  </si>
  <si>
    <t xml:space="preserve">Lower is better: 0.25 = coin-flip guessing, under 0.20 = some skill.</t>
  </si>
  <si>
    <t xml:space="preserve">Min edge to bet (percentage points)</t>
  </si>
  <si>
    <t xml:space="preserve">Only bet when your estimate beats the market price by at least this much.</t>
  </si>
  <si>
    <t xml:space="preserve">Balance ($)</t>
  </si>
  <si>
    <t xml:space="preserve">Bets that met the rules</t>
  </si>
  <si>
    <t xml:space="preserve">Win rate (resolved)</t>
  </si>
  <si>
    <t xml:space="preserve">Market / Question</t>
  </si>
  <si>
    <t xml:space="preserve">Niche</t>
  </si>
  <si>
    <t xml:space="preserve">Side (YES/NO)</t>
  </si>
  <si>
    <t xml:space="preserve">Your Prob. Your Side Wins</t>
  </si>
  <si>
    <t xml:space="preserve">Price Paid (¢)</t>
  </si>
  <si>
    <t xml:space="preserve">Edge (pts)</t>
  </si>
  <si>
    <t xml:space="preserve">Stake ($)</t>
  </si>
  <si>
    <t xml:space="preserve">Shares</t>
  </si>
  <si>
    <t xml:space="preserve">Meets Rules?</t>
  </si>
  <si>
    <t xml:space="preserve">Reasoning</t>
  </si>
  <si>
    <t xml:space="preserve">Outcome</t>
  </si>
  <si>
    <t xml:space="preserve">Resolved Date</t>
  </si>
  <si>
    <t xml:space="preserve">P/L ($)</t>
  </si>
  <si>
    <t xml:space="preserve">Lesson</t>
  </si>
  <si>
    <t xml:space="preserve">EXAMPLE — Will [team] win Sunday's game?</t>
  </si>
  <si>
    <t xml:space="preserve">Sports</t>
  </si>
  <si>
    <t xml:space="preserve">YES</t>
  </si>
  <si>
    <t xml:space="preserve">Starting QB back from injury; market hasn't adjusted.</t>
  </si>
  <si>
    <t xml:space="preserve">Open</t>
  </si>
  <si>
    <t xml:space="preserve">Example row; delete or overwrite.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</si>
</sst>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\$#,##0.00;&quot;($&quot;#,##0.00\);\-"/>
    <numFmt numFmtId="166" formatCode="0.0%;\(0.0%\);\-"/>
    <numFmt numFmtId="167" formatCode="\$0.0000"/>
    <numFmt numFmtId="168" formatCode="\$0.00000"/>
    <numFmt numFmtId="169" formatCode="#,##0.00"/>
    <numFmt numFmtId="170" formatCode="0.00\x"/>
    <numFmt numFmtId="171" formatCode="yyyy\-mm\-dd"/>
    <numFmt numFmtId="172" formatCode="@"/>
    <numFmt numFmtId="173" formatCode="0.00\R;\-0.00\R;0.00\R"/>
    <numFmt numFmtId="174" formatCode="0"/>
    <numFmt numFmtId="175" formatCode="0.00"/>
    <numFmt numFmtId="176" formatCode="0.000"/>
    <numFmt numFmtId="177" formatCode="0&quot; pts&quot;"/>
    <numFmt numFmtId="178" formatCode="0\¢"/>
    <numFmt numFmtId="179" formatCode="\+0.0&quot; pts&quot;;\-0.0&quot; pts&quot;;0&quot; pts&quot;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sz val="10"/>
      <color rgb="FF008000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C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2F2F2"/>
        <bgColor rgb="FFE2EFDA"/>
      </patternFill>
    </fill>
    <fill>
      <patternFill patternType="solid">
        <fgColor rgb="FF2F5D50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008000"/>
      </font>
    </dxf>
    <dxf>
      <font>
        <name val="Arial"/>
        <charset val="1"/>
        <family val="0"/>
        <b val="1"/>
        <color rgb="FFC00000"/>
      </font>
    </dxf>
    <dxf>
      <font>
        <name val="Arial"/>
        <charset val="1"/>
        <family val="0"/>
        <b val="1"/>
        <color rgb="FF008000"/>
      </font>
      <fill>
        <patternFill>
          <bgColor rgb="FFE2EFDA"/>
        </patternFill>
      </fill>
    </dxf>
    <dxf>
      <font>
        <name val="Arial"/>
        <charset val="1"/>
        <family val="0"/>
        <b val="1"/>
        <color rgb="FFC00000"/>
      </font>
      <fill>
        <patternFill>
          <bgColor rgb="FFFCE4E4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5D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0"/>
    <col collapsed="false" customWidth="true" hidden="false" outlineLevel="0" max="3" min="3" style="0" width="95"/>
  </cols>
  <sheetData>
    <row r="1" customFormat="false" ht="17.35" hidden="false" customHeight="false" outlineLevel="0" collapsed="false">
      <c r="A1" s="1" t="s">
        <v>0</v>
      </c>
      <c r="B1" s="2"/>
      <c r="C1" s="2"/>
    </row>
    <row r="2" customFormat="false" ht="15" hidden="false" customHeight="false" outlineLevel="0" collapsed="false">
      <c r="A2" s="3" t="s">
        <v>1</v>
      </c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4" t="s">
        <v>2</v>
      </c>
      <c r="B4" s="2"/>
      <c r="C4" s="2"/>
    </row>
    <row r="5" customFormat="false" ht="15" hidden="false" customHeight="false" outlineLevel="0" collapsed="false">
      <c r="A5" s="5" t="s">
        <v>3</v>
      </c>
      <c r="B5" s="6" t="n">
        <v>79</v>
      </c>
      <c r="C5" s="7" t="s">
        <v>4</v>
      </c>
    </row>
    <row r="6" customFormat="false" ht="15" hidden="false" customHeight="false" outlineLevel="0" collapsed="false">
      <c r="A6" s="5" t="s">
        <v>5</v>
      </c>
      <c r="B6" s="8" t="n">
        <v>0.05</v>
      </c>
      <c r="C6" s="7" t="s">
        <v>6</v>
      </c>
    </row>
    <row r="7" customFormat="false" ht="15" hidden="false" customHeight="false" outlineLevel="0" collapsed="false">
      <c r="A7" s="5" t="s">
        <v>7</v>
      </c>
      <c r="B7" s="9" t="n">
        <v>0.2362</v>
      </c>
      <c r="C7" s="7" t="s">
        <v>8</v>
      </c>
    </row>
    <row r="8" customFormat="false" ht="15" hidden="false" customHeight="false" outlineLevel="0" collapsed="false">
      <c r="A8" s="5" t="s">
        <v>9</v>
      </c>
      <c r="B8" s="9" t="n">
        <v>0.22</v>
      </c>
      <c r="C8" s="7" t="s">
        <v>10</v>
      </c>
    </row>
    <row r="9" customFormat="false" ht="15" hidden="false" customHeight="false" outlineLevel="0" collapsed="false">
      <c r="A9" s="5" t="s">
        <v>11</v>
      </c>
      <c r="B9" s="9" t="n">
        <v>0.27</v>
      </c>
      <c r="C9" s="7" t="s">
        <v>12</v>
      </c>
    </row>
    <row r="10" customFormat="false" ht="15" hidden="false" customHeight="false" outlineLevel="0" collapsed="false">
      <c r="A10" s="5" t="s">
        <v>13</v>
      </c>
      <c r="B10" s="8" t="n">
        <v>0.006</v>
      </c>
      <c r="C10" s="7" t="s">
        <v>14</v>
      </c>
    </row>
    <row r="11" customFormat="false" ht="15" hidden="false" customHeight="false" outlineLevel="0" collapsed="false">
      <c r="A11" s="2"/>
      <c r="B11" s="2"/>
      <c r="C11" s="2"/>
    </row>
    <row r="12" customFormat="false" ht="15" hidden="false" customHeight="false" outlineLevel="0" collapsed="false">
      <c r="A12" s="4" t="s">
        <v>15</v>
      </c>
      <c r="B12" s="2"/>
      <c r="C12" s="2"/>
    </row>
    <row r="13" customFormat="false" ht="15" hidden="false" customHeight="false" outlineLevel="0" collapsed="false">
      <c r="A13" s="5" t="s">
        <v>16</v>
      </c>
      <c r="B13" s="10" t="n">
        <f aca="false">B5*B6</f>
        <v>3.95</v>
      </c>
      <c r="C13" s="2"/>
    </row>
    <row r="14" customFormat="false" ht="15" hidden="false" customHeight="false" outlineLevel="0" collapsed="false">
      <c r="A14" s="5" t="s">
        <v>17</v>
      </c>
      <c r="B14" s="11" t="n">
        <f aca="false">IF(B7&gt;B8,(B7-B8)+B7*B10+B8*B10,NA())</f>
        <v>0.0189372</v>
      </c>
      <c r="C14" s="7" t="s">
        <v>18</v>
      </c>
    </row>
    <row r="15" customFormat="false" ht="15" hidden="false" customHeight="false" outlineLevel="0" collapsed="false">
      <c r="A15" s="5" t="s">
        <v>19</v>
      </c>
      <c r="B15" s="12" t="n">
        <f aca="false">IFERROR(B13/B14,0)</f>
        <v>208.584162389371</v>
      </c>
      <c r="C15" s="2"/>
    </row>
    <row r="16" customFormat="false" ht="15" hidden="false" customHeight="false" outlineLevel="0" collapsed="false">
      <c r="A16" s="5" t="s">
        <v>20</v>
      </c>
      <c r="B16" s="13" t="n">
        <f aca="false">MIN(B15*B7,B5)</f>
        <v>49.2675791563695</v>
      </c>
      <c r="C16" s="7" t="s">
        <v>21</v>
      </c>
    </row>
    <row r="17" customFormat="false" ht="15" hidden="false" customHeight="false" outlineLevel="0" collapsed="false">
      <c r="A17" s="5" t="s">
        <v>22</v>
      </c>
      <c r="B17" s="12" t="n">
        <f aca="false">IFERROR(B16/B7,0)</f>
        <v>208.584162389371</v>
      </c>
      <c r="C17" s="2"/>
    </row>
    <row r="18" customFormat="false" ht="15" hidden="false" customHeight="false" outlineLevel="0" collapsed="false">
      <c r="A18" s="5" t="s">
        <v>23</v>
      </c>
      <c r="B18" s="14" t="n">
        <f aca="false">IFERROR(B16/B5,0)</f>
        <v>0.62364024248569</v>
      </c>
      <c r="C18" s="2"/>
    </row>
    <row r="19" customFormat="false" ht="15" hidden="false" customHeight="false" outlineLevel="0" collapsed="false">
      <c r="A19" s="5" t="s">
        <v>24</v>
      </c>
      <c r="B19" s="10" t="n">
        <f aca="false">-B17*((B7-B8)+B7*B10+B8*B10)</f>
        <v>-3.95</v>
      </c>
      <c r="C19" s="2"/>
    </row>
    <row r="20" customFormat="false" ht="15" hidden="false" customHeight="false" outlineLevel="0" collapsed="false">
      <c r="A20" s="5" t="s">
        <v>25</v>
      </c>
      <c r="B20" s="10" t="n">
        <f aca="false">B17*((B9-B7)-B7*B10-B9*B10)</f>
        <v>6.41663287075176</v>
      </c>
      <c r="C20" s="2"/>
    </row>
    <row r="21" customFormat="false" ht="15" hidden="false" customHeight="false" outlineLevel="0" collapsed="false">
      <c r="A21" s="5" t="s">
        <v>26</v>
      </c>
      <c r="B21" s="15" t="n">
        <f aca="false">IFERROR(B20/-B19,0)</f>
        <v>1.62446401791184</v>
      </c>
      <c r="C21" s="7" t="s">
        <v>27</v>
      </c>
    </row>
    <row r="22" customFormat="false" ht="15" hidden="false" customHeight="false" outlineLevel="0" collapsed="false">
      <c r="A22" s="5" t="s">
        <v>28</v>
      </c>
      <c r="B22" s="16" t="str">
        <f aca="false">IF(B21&gt;=2,"YES","NO — target too close or stop too wide")</f>
        <v>NO — target too close or stop too wide</v>
      </c>
      <c r="C22" s="2"/>
    </row>
  </sheetData>
  <conditionalFormatting sqref="B22">
    <cfRule type="cellIs" priority="2" operator="equal" aboveAverage="0" equalAverage="0" bottom="0" percent="0" rank="0" text="" dxfId="0">
      <formula>"YES"</formula>
    </cfRule>
    <cfRule type="cellIs" priority="3" operator="notEqual" aboveAverage="0" equalAverage="0" bottom="0" percent="0" rank="0" text="" dxfId="1">
      <formula>"YES"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13"/>
    <col collapsed="false" customWidth="true" hidden="false" outlineLevel="0" max="8" min="5" style="0" width="11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5" min="14" style="0" width="11"/>
    <col collapsed="false" customWidth="true" hidden="false" outlineLevel="0" max="16" min="16" style="0" width="34"/>
    <col collapsed="false" customWidth="true" hidden="false" outlineLevel="0" max="17" min="17" style="0" width="13"/>
    <col collapsed="false" customWidth="true" hidden="false" outlineLevel="0" max="18" min="18" style="0" width="40"/>
  </cols>
  <sheetData>
    <row r="1" customFormat="false" ht="17.35" hidden="false" customHeight="false" outlineLevel="0" collapsed="false">
      <c r="A1" s="1" t="s">
        <v>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5" hidden="false" customHeight="false" outlineLevel="0" collapsed="false">
      <c r="A2" s="3" t="s">
        <v>30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customFormat="false" ht="30" hidden="false" customHeight="true" outlineLevel="0" collapsed="false">
      <c r="A4" s="17" t="s">
        <v>31</v>
      </c>
      <c r="B4" s="17" t="s">
        <v>32</v>
      </c>
      <c r="C4" s="17" t="s">
        <v>33</v>
      </c>
      <c r="D4" s="17" t="s">
        <v>34</v>
      </c>
      <c r="E4" s="17" t="s">
        <v>35</v>
      </c>
      <c r="F4" s="17" t="s">
        <v>36</v>
      </c>
      <c r="G4" s="17" t="s">
        <v>37</v>
      </c>
      <c r="H4" s="17" t="s">
        <v>38</v>
      </c>
      <c r="I4" s="17" t="s">
        <v>39</v>
      </c>
      <c r="J4" s="17" t="s">
        <v>40</v>
      </c>
      <c r="K4" s="17" t="s">
        <v>41</v>
      </c>
      <c r="L4" s="17" t="s">
        <v>42</v>
      </c>
      <c r="M4" s="17" t="s">
        <v>43</v>
      </c>
      <c r="N4" s="17" t="s">
        <v>44</v>
      </c>
      <c r="O4" s="17" t="s">
        <v>45</v>
      </c>
      <c r="P4" s="17" t="s">
        <v>46</v>
      </c>
      <c r="Q4" s="17" t="s">
        <v>47</v>
      </c>
      <c r="R4" s="17" t="s">
        <v>48</v>
      </c>
    </row>
    <row r="5" customFormat="false" ht="15" hidden="false" customHeight="false" outlineLevel="0" collapsed="false">
      <c r="A5" s="5" t="n">
        <v>1</v>
      </c>
      <c r="B5" s="18" t="n">
        <v>46311</v>
      </c>
      <c r="C5" s="19" t="s">
        <v>49</v>
      </c>
      <c r="D5" s="20" t="n">
        <v>0.1495</v>
      </c>
      <c r="E5" s="20" t="n">
        <v>0.135</v>
      </c>
      <c r="F5" s="20" t="n">
        <v>0.25</v>
      </c>
      <c r="G5" s="21" t="n">
        <v>334.45</v>
      </c>
      <c r="H5" s="10" t="n">
        <f aca="false">IF(OR(D5="",G5=""),"",D5*G5)</f>
        <v>50.000275</v>
      </c>
      <c r="I5" s="18" t="n">
        <v>46312</v>
      </c>
      <c r="J5" s="20" t="n">
        <v>0.2362</v>
      </c>
      <c r="K5" s="22" t="n">
        <v>0</v>
      </c>
      <c r="L5" s="10" t="n">
        <f aca="false">IF(OR(J5="",H5=""),"",J5*G5-H5-N(K5))</f>
        <v>28.996815</v>
      </c>
      <c r="M5" s="14" t="n">
        <f aca="false">IF(L5="","",L5/H5)</f>
        <v>0.579933110367893</v>
      </c>
      <c r="N5" s="23" t="n">
        <f aca="false">IF(OR(L5="",E5="",D5&lt;=E5),"",L5/((D5-E5)*G5))</f>
        <v>5.97931034482759</v>
      </c>
      <c r="O5" s="15" t="n">
        <f aca="false">IF(OR(D5="",E5="",F5="",D5&lt;=E5),"",(F5-D5)/(D5-E5))</f>
        <v>6.93103448275863</v>
      </c>
      <c r="P5" s="19" t="s">
        <v>50</v>
      </c>
      <c r="Q5" s="19" t="s">
        <v>51</v>
      </c>
      <c r="R5" s="19" t="s">
        <v>52</v>
      </c>
    </row>
    <row r="6" customFormat="false" ht="15" hidden="false" customHeight="false" outlineLevel="0" collapsed="false">
      <c r="A6" s="5" t="n">
        <v>2</v>
      </c>
      <c r="B6" s="18"/>
      <c r="C6" s="19"/>
      <c r="D6" s="20"/>
      <c r="E6" s="20"/>
      <c r="F6" s="20"/>
      <c r="G6" s="21"/>
      <c r="H6" s="10" t="str">
        <f aca="false">IF(OR(D6="",G6=""),"",D6*G6)</f>
        <v/>
      </c>
      <c r="I6" s="18"/>
      <c r="J6" s="20"/>
      <c r="K6" s="22"/>
      <c r="L6" s="10" t="str">
        <f aca="false">IF(OR(J6="",H6=""),"",J6*G6-H6-N(K6))</f>
        <v/>
      </c>
      <c r="M6" s="14" t="str">
        <f aca="false">IF(L6="","",L6/H6)</f>
        <v/>
      </c>
      <c r="N6" s="23" t="str">
        <f aca="false">IF(OR(L6="",E6="",D6&lt;=E6),"",L6/((D6-E6)*G6))</f>
        <v/>
      </c>
      <c r="O6" s="15" t="str">
        <f aca="false">IF(OR(D6="",E6="",F6="",D6&lt;=E6),"",(F6-D6)/(D6-E6))</f>
        <v/>
      </c>
      <c r="P6" s="19"/>
      <c r="Q6" s="19"/>
      <c r="R6" s="19"/>
    </row>
    <row r="7" customFormat="false" ht="15" hidden="false" customHeight="false" outlineLevel="0" collapsed="false">
      <c r="A7" s="5" t="n">
        <v>3</v>
      </c>
      <c r="B7" s="18"/>
      <c r="C7" s="19"/>
      <c r="D7" s="20"/>
      <c r="E7" s="20"/>
      <c r="F7" s="20"/>
      <c r="G7" s="21"/>
      <c r="H7" s="10" t="str">
        <f aca="false">IF(OR(D7="",G7=""),"",D7*G7)</f>
        <v/>
      </c>
      <c r="I7" s="18"/>
      <c r="J7" s="20"/>
      <c r="K7" s="22"/>
      <c r="L7" s="10" t="str">
        <f aca="false">IF(OR(J7="",H7=""),"",J7*G7-H7-N(K7))</f>
        <v/>
      </c>
      <c r="M7" s="14" t="str">
        <f aca="false">IF(L7="","",L7/H7)</f>
        <v/>
      </c>
      <c r="N7" s="23" t="str">
        <f aca="false">IF(OR(L7="",E7="",D7&lt;=E7),"",L7/((D7-E7)*G7))</f>
        <v/>
      </c>
      <c r="O7" s="15" t="str">
        <f aca="false">IF(OR(D7="",E7="",F7="",D7&lt;=E7),"",(F7-D7)/(D7-E7))</f>
        <v/>
      </c>
      <c r="P7" s="19"/>
      <c r="Q7" s="19"/>
      <c r="R7" s="19"/>
    </row>
    <row r="8" customFormat="false" ht="15" hidden="false" customHeight="false" outlineLevel="0" collapsed="false">
      <c r="A8" s="5" t="n">
        <v>4</v>
      </c>
      <c r="B8" s="18"/>
      <c r="C8" s="19"/>
      <c r="D8" s="20"/>
      <c r="E8" s="20"/>
      <c r="F8" s="20"/>
      <c r="G8" s="21"/>
      <c r="H8" s="10" t="str">
        <f aca="false">IF(OR(D8="",G8=""),"",D8*G8)</f>
        <v/>
      </c>
      <c r="I8" s="18"/>
      <c r="J8" s="20"/>
      <c r="K8" s="22"/>
      <c r="L8" s="10" t="str">
        <f aca="false">IF(OR(J8="",H8=""),"",J8*G8-H8-N(K8))</f>
        <v/>
      </c>
      <c r="M8" s="14" t="str">
        <f aca="false">IF(L8="","",L8/H8)</f>
        <v/>
      </c>
      <c r="N8" s="23" t="str">
        <f aca="false">IF(OR(L8="",E8="",D8&lt;=E8),"",L8/((D8-E8)*G8))</f>
        <v/>
      </c>
      <c r="O8" s="15" t="str">
        <f aca="false">IF(OR(D8="",E8="",F8="",D8&lt;=E8),"",(F8-D8)/(D8-E8))</f>
        <v/>
      </c>
      <c r="P8" s="19"/>
      <c r="Q8" s="19"/>
      <c r="R8" s="19"/>
    </row>
    <row r="9" customFormat="false" ht="15" hidden="false" customHeight="false" outlineLevel="0" collapsed="false">
      <c r="A9" s="5" t="n">
        <v>5</v>
      </c>
      <c r="B9" s="18"/>
      <c r="C9" s="19"/>
      <c r="D9" s="20"/>
      <c r="E9" s="20"/>
      <c r="F9" s="20"/>
      <c r="G9" s="21"/>
      <c r="H9" s="10" t="str">
        <f aca="false">IF(OR(D9="",G9=""),"",D9*G9)</f>
        <v/>
      </c>
      <c r="I9" s="18"/>
      <c r="J9" s="20"/>
      <c r="K9" s="22"/>
      <c r="L9" s="10" t="str">
        <f aca="false">IF(OR(J9="",H9=""),"",J9*G9-H9-N(K9))</f>
        <v/>
      </c>
      <c r="M9" s="14" t="str">
        <f aca="false">IF(L9="","",L9/H9)</f>
        <v/>
      </c>
      <c r="N9" s="23" t="str">
        <f aca="false">IF(OR(L9="",E9="",D9&lt;=E9),"",L9/((D9-E9)*G9))</f>
        <v/>
      </c>
      <c r="O9" s="15" t="str">
        <f aca="false">IF(OR(D9="",E9="",F9="",D9&lt;=E9),"",(F9-D9)/(D9-E9))</f>
        <v/>
      </c>
      <c r="P9" s="19"/>
      <c r="Q9" s="19"/>
      <c r="R9" s="19"/>
    </row>
    <row r="10" customFormat="false" ht="15" hidden="false" customHeight="false" outlineLevel="0" collapsed="false">
      <c r="A10" s="5" t="n">
        <v>6</v>
      </c>
      <c r="B10" s="18"/>
      <c r="C10" s="19"/>
      <c r="D10" s="20"/>
      <c r="E10" s="20"/>
      <c r="F10" s="20"/>
      <c r="G10" s="21"/>
      <c r="H10" s="10" t="str">
        <f aca="false">IF(OR(D10="",G10=""),"",D10*G10)</f>
        <v/>
      </c>
      <c r="I10" s="18"/>
      <c r="J10" s="20"/>
      <c r="K10" s="22"/>
      <c r="L10" s="10" t="str">
        <f aca="false">IF(OR(J10="",H10=""),"",J10*G10-H10-N(K10))</f>
        <v/>
      </c>
      <c r="M10" s="14" t="str">
        <f aca="false">IF(L10="","",L10/H10)</f>
        <v/>
      </c>
      <c r="N10" s="23" t="str">
        <f aca="false">IF(OR(L10="",E10="",D10&lt;=E10),"",L10/((D10-E10)*G10))</f>
        <v/>
      </c>
      <c r="O10" s="15" t="str">
        <f aca="false">IF(OR(D10="",E10="",F10="",D10&lt;=E10),"",(F10-D10)/(D10-E10))</f>
        <v/>
      </c>
      <c r="P10" s="19"/>
      <c r="Q10" s="19"/>
      <c r="R10" s="19"/>
    </row>
    <row r="11" customFormat="false" ht="15" hidden="false" customHeight="false" outlineLevel="0" collapsed="false">
      <c r="A11" s="5" t="n">
        <v>7</v>
      </c>
      <c r="B11" s="18"/>
      <c r="C11" s="19"/>
      <c r="D11" s="20"/>
      <c r="E11" s="20"/>
      <c r="F11" s="20"/>
      <c r="G11" s="21"/>
      <c r="H11" s="10" t="str">
        <f aca="false">IF(OR(D11="",G11=""),"",D11*G11)</f>
        <v/>
      </c>
      <c r="I11" s="18"/>
      <c r="J11" s="20"/>
      <c r="K11" s="22"/>
      <c r="L11" s="10" t="str">
        <f aca="false">IF(OR(J11="",H11=""),"",J11*G11-H11-N(K11))</f>
        <v/>
      </c>
      <c r="M11" s="14" t="str">
        <f aca="false">IF(L11="","",L11/H11)</f>
        <v/>
      </c>
      <c r="N11" s="23" t="str">
        <f aca="false">IF(OR(L11="",E11="",D11&lt;=E11),"",L11/((D11-E11)*G11))</f>
        <v/>
      </c>
      <c r="O11" s="15" t="str">
        <f aca="false">IF(OR(D11="",E11="",F11="",D11&lt;=E11),"",(F11-D11)/(D11-E11))</f>
        <v/>
      </c>
      <c r="P11" s="19"/>
      <c r="Q11" s="19"/>
      <c r="R11" s="19"/>
    </row>
    <row r="12" customFormat="false" ht="15" hidden="false" customHeight="false" outlineLevel="0" collapsed="false">
      <c r="A12" s="5" t="n">
        <v>8</v>
      </c>
      <c r="B12" s="18"/>
      <c r="C12" s="19"/>
      <c r="D12" s="20"/>
      <c r="E12" s="20"/>
      <c r="F12" s="20"/>
      <c r="G12" s="21"/>
      <c r="H12" s="10" t="str">
        <f aca="false">IF(OR(D12="",G12=""),"",D12*G12)</f>
        <v/>
      </c>
      <c r="I12" s="18"/>
      <c r="J12" s="20"/>
      <c r="K12" s="22"/>
      <c r="L12" s="10" t="str">
        <f aca="false">IF(OR(J12="",H12=""),"",J12*G12-H12-N(K12))</f>
        <v/>
      </c>
      <c r="M12" s="14" t="str">
        <f aca="false">IF(L12="","",L12/H12)</f>
        <v/>
      </c>
      <c r="N12" s="23" t="str">
        <f aca="false">IF(OR(L12="",E12="",D12&lt;=E12),"",L12/((D12-E12)*G12))</f>
        <v/>
      </c>
      <c r="O12" s="15" t="str">
        <f aca="false">IF(OR(D12="",E12="",F12="",D12&lt;=E12),"",(F12-D12)/(D12-E12))</f>
        <v/>
      </c>
      <c r="P12" s="19"/>
      <c r="Q12" s="19"/>
      <c r="R12" s="19"/>
    </row>
    <row r="13" customFormat="false" ht="15" hidden="false" customHeight="false" outlineLevel="0" collapsed="false">
      <c r="A13" s="5" t="n">
        <v>9</v>
      </c>
      <c r="B13" s="18"/>
      <c r="C13" s="19"/>
      <c r="D13" s="20"/>
      <c r="E13" s="20"/>
      <c r="F13" s="20"/>
      <c r="G13" s="21"/>
      <c r="H13" s="10" t="str">
        <f aca="false">IF(OR(D13="",G13=""),"",D13*G13)</f>
        <v/>
      </c>
      <c r="I13" s="18"/>
      <c r="J13" s="20"/>
      <c r="K13" s="22"/>
      <c r="L13" s="10" t="str">
        <f aca="false">IF(OR(J13="",H13=""),"",J13*G13-H13-N(K13))</f>
        <v/>
      </c>
      <c r="M13" s="14" t="str">
        <f aca="false">IF(L13="","",L13/H13)</f>
        <v/>
      </c>
      <c r="N13" s="23" t="str">
        <f aca="false">IF(OR(L13="",E13="",D13&lt;=E13),"",L13/((D13-E13)*G13))</f>
        <v/>
      </c>
      <c r="O13" s="15" t="str">
        <f aca="false">IF(OR(D13="",E13="",F13="",D13&lt;=E13),"",(F13-D13)/(D13-E13))</f>
        <v/>
      </c>
      <c r="P13" s="19"/>
      <c r="Q13" s="19"/>
      <c r="R13" s="19"/>
    </row>
    <row r="14" customFormat="false" ht="15" hidden="false" customHeight="false" outlineLevel="0" collapsed="false">
      <c r="A14" s="5" t="n">
        <v>10</v>
      </c>
      <c r="B14" s="18"/>
      <c r="C14" s="19"/>
      <c r="D14" s="20"/>
      <c r="E14" s="20"/>
      <c r="F14" s="20"/>
      <c r="G14" s="21"/>
      <c r="H14" s="10" t="str">
        <f aca="false">IF(OR(D14="",G14=""),"",D14*G14)</f>
        <v/>
      </c>
      <c r="I14" s="18"/>
      <c r="J14" s="20"/>
      <c r="K14" s="22"/>
      <c r="L14" s="10" t="str">
        <f aca="false">IF(OR(J14="",H14=""),"",J14*G14-H14-N(K14))</f>
        <v/>
      </c>
      <c r="M14" s="14" t="str">
        <f aca="false">IF(L14="","",L14/H14)</f>
        <v/>
      </c>
      <c r="N14" s="23" t="str">
        <f aca="false">IF(OR(L14="",E14="",D14&lt;=E14),"",L14/((D14-E14)*G14))</f>
        <v/>
      </c>
      <c r="O14" s="15" t="str">
        <f aca="false">IF(OR(D14="",E14="",F14="",D14&lt;=E14),"",(F14-D14)/(D14-E14))</f>
        <v/>
      </c>
      <c r="P14" s="19"/>
      <c r="Q14" s="19"/>
      <c r="R14" s="19"/>
    </row>
    <row r="15" customFormat="false" ht="15" hidden="false" customHeight="false" outlineLevel="0" collapsed="false">
      <c r="A15" s="5" t="n">
        <v>11</v>
      </c>
      <c r="B15" s="18"/>
      <c r="C15" s="19"/>
      <c r="D15" s="20"/>
      <c r="E15" s="20"/>
      <c r="F15" s="20"/>
      <c r="G15" s="21"/>
      <c r="H15" s="10" t="str">
        <f aca="false">IF(OR(D15="",G15=""),"",D15*G15)</f>
        <v/>
      </c>
      <c r="I15" s="18"/>
      <c r="J15" s="20"/>
      <c r="K15" s="22"/>
      <c r="L15" s="10" t="str">
        <f aca="false">IF(OR(J15="",H15=""),"",J15*G15-H15-N(K15))</f>
        <v/>
      </c>
      <c r="M15" s="14" t="str">
        <f aca="false">IF(L15="","",L15/H15)</f>
        <v/>
      </c>
      <c r="N15" s="23" t="str">
        <f aca="false">IF(OR(L15="",E15="",D15&lt;=E15),"",L15/((D15-E15)*G15))</f>
        <v/>
      </c>
      <c r="O15" s="15" t="str">
        <f aca="false">IF(OR(D15="",E15="",F15="",D15&lt;=E15),"",(F15-D15)/(D15-E15))</f>
        <v/>
      </c>
      <c r="P15" s="19"/>
      <c r="Q15" s="19"/>
      <c r="R15" s="19"/>
    </row>
    <row r="16" customFormat="false" ht="15" hidden="false" customHeight="false" outlineLevel="0" collapsed="false">
      <c r="A16" s="5" t="n">
        <v>12</v>
      </c>
      <c r="B16" s="18"/>
      <c r="C16" s="19"/>
      <c r="D16" s="20"/>
      <c r="E16" s="20"/>
      <c r="F16" s="20"/>
      <c r="G16" s="21"/>
      <c r="H16" s="10" t="str">
        <f aca="false">IF(OR(D16="",G16=""),"",D16*G16)</f>
        <v/>
      </c>
      <c r="I16" s="18"/>
      <c r="J16" s="20"/>
      <c r="K16" s="22"/>
      <c r="L16" s="10" t="str">
        <f aca="false">IF(OR(J16="",H16=""),"",J16*G16-H16-N(K16))</f>
        <v/>
      </c>
      <c r="M16" s="14" t="str">
        <f aca="false">IF(L16="","",L16/H16)</f>
        <v/>
      </c>
      <c r="N16" s="23" t="str">
        <f aca="false">IF(OR(L16="",E16="",D16&lt;=E16),"",L16/((D16-E16)*G16))</f>
        <v/>
      </c>
      <c r="O16" s="15" t="str">
        <f aca="false">IF(OR(D16="",E16="",F16="",D16&lt;=E16),"",(F16-D16)/(D16-E16))</f>
        <v/>
      </c>
      <c r="P16" s="19"/>
      <c r="Q16" s="19"/>
      <c r="R16" s="19"/>
    </row>
    <row r="17" customFormat="false" ht="15" hidden="false" customHeight="false" outlineLevel="0" collapsed="false">
      <c r="A17" s="5" t="n">
        <v>13</v>
      </c>
      <c r="B17" s="18"/>
      <c r="C17" s="19"/>
      <c r="D17" s="20"/>
      <c r="E17" s="20"/>
      <c r="F17" s="20"/>
      <c r="G17" s="21"/>
      <c r="H17" s="10" t="str">
        <f aca="false">IF(OR(D17="",G17=""),"",D17*G17)</f>
        <v/>
      </c>
      <c r="I17" s="18"/>
      <c r="J17" s="20"/>
      <c r="K17" s="22"/>
      <c r="L17" s="10" t="str">
        <f aca="false">IF(OR(J17="",H17=""),"",J17*G17-H17-N(K17))</f>
        <v/>
      </c>
      <c r="M17" s="14" t="str">
        <f aca="false">IF(L17="","",L17/H17)</f>
        <v/>
      </c>
      <c r="N17" s="23" t="str">
        <f aca="false">IF(OR(L17="",E17="",D17&lt;=E17),"",L17/((D17-E17)*G17))</f>
        <v/>
      </c>
      <c r="O17" s="15" t="str">
        <f aca="false">IF(OR(D17="",E17="",F17="",D17&lt;=E17),"",(F17-D17)/(D17-E17))</f>
        <v/>
      </c>
      <c r="P17" s="19"/>
      <c r="Q17" s="19"/>
      <c r="R17" s="19"/>
    </row>
    <row r="18" customFormat="false" ht="15" hidden="false" customHeight="false" outlineLevel="0" collapsed="false">
      <c r="A18" s="5" t="n">
        <v>14</v>
      </c>
      <c r="B18" s="18"/>
      <c r="C18" s="19"/>
      <c r="D18" s="20"/>
      <c r="E18" s="20"/>
      <c r="F18" s="20"/>
      <c r="G18" s="21"/>
      <c r="H18" s="10" t="str">
        <f aca="false">IF(OR(D18="",G18=""),"",D18*G18)</f>
        <v/>
      </c>
      <c r="I18" s="18"/>
      <c r="J18" s="20"/>
      <c r="K18" s="22"/>
      <c r="L18" s="10" t="str">
        <f aca="false">IF(OR(J18="",H18=""),"",J18*G18-H18-N(K18))</f>
        <v/>
      </c>
      <c r="M18" s="14" t="str">
        <f aca="false">IF(L18="","",L18/H18)</f>
        <v/>
      </c>
      <c r="N18" s="23" t="str">
        <f aca="false">IF(OR(L18="",E18="",D18&lt;=E18),"",L18/((D18-E18)*G18))</f>
        <v/>
      </c>
      <c r="O18" s="15" t="str">
        <f aca="false">IF(OR(D18="",E18="",F18="",D18&lt;=E18),"",(F18-D18)/(D18-E18))</f>
        <v/>
      </c>
      <c r="P18" s="19"/>
      <c r="Q18" s="19"/>
      <c r="R18" s="19"/>
    </row>
    <row r="19" customFormat="false" ht="15" hidden="false" customHeight="false" outlineLevel="0" collapsed="false">
      <c r="A19" s="5" t="n">
        <v>15</v>
      </c>
      <c r="B19" s="18"/>
      <c r="C19" s="19"/>
      <c r="D19" s="20"/>
      <c r="E19" s="20"/>
      <c r="F19" s="20"/>
      <c r="G19" s="21"/>
      <c r="H19" s="10" t="str">
        <f aca="false">IF(OR(D19="",G19=""),"",D19*G19)</f>
        <v/>
      </c>
      <c r="I19" s="18"/>
      <c r="J19" s="20"/>
      <c r="K19" s="22"/>
      <c r="L19" s="10" t="str">
        <f aca="false">IF(OR(J19="",H19=""),"",J19*G19-H19-N(K19))</f>
        <v/>
      </c>
      <c r="M19" s="14" t="str">
        <f aca="false">IF(L19="","",L19/H19)</f>
        <v/>
      </c>
      <c r="N19" s="23" t="str">
        <f aca="false">IF(OR(L19="",E19="",D19&lt;=E19),"",L19/((D19-E19)*G19))</f>
        <v/>
      </c>
      <c r="O19" s="15" t="str">
        <f aca="false">IF(OR(D19="",E19="",F19="",D19&lt;=E19),"",(F19-D19)/(D19-E19))</f>
        <v/>
      </c>
      <c r="P19" s="19"/>
      <c r="Q19" s="19"/>
      <c r="R19" s="19"/>
    </row>
    <row r="20" customFormat="false" ht="15" hidden="false" customHeight="false" outlineLevel="0" collapsed="false">
      <c r="A20" s="5" t="n">
        <v>16</v>
      </c>
      <c r="B20" s="18"/>
      <c r="C20" s="19"/>
      <c r="D20" s="20"/>
      <c r="E20" s="20"/>
      <c r="F20" s="20"/>
      <c r="G20" s="21"/>
      <c r="H20" s="10" t="str">
        <f aca="false">IF(OR(D20="",G20=""),"",D20*G20)</f>
        <v/>
      </c>
      <c r="I20" s="18"/>
      <c r="J20" s="20"/>
      <c r="K20" s="22"/>
      <c r="L20" s="10" t="str">
        <f aca="false">IF(OR(J20="",H20=""),"",J20*G20-H20-N(K20))</f>
        <v/>
      </c>
      <c r="M20" s="14" t="str">
        <f aca="false">IF(L20="","",L20/H20)</f>
        <v/>
      </c>
      <c r="N20" s="23" t="str">
        <f aca="false">IF(OR(L20="",E20="",D20&lt;=E20),"",L20/((D20-E20)*G20))</f>
        <v/>
      </c>
      <c r="O20" s="15" t="str">
        <f aca="false">IF(OR(D20="",E20="",F20="",D20&lt;=E20),"",(F20-D20)/(D20-E20))</f>
        <v/>
      </c>
      <c r="P20" s="19"/>
      <c r="Q20" s="19"/>
      <c r="R20" s="19"/>
    </row>
    <row r="21" customFormat="false" ht="15" hidden="false" customHeight="false" outlineLevel="0" collapsed="false">
      <c r="A21" s="5" t="n">
        <v>17</v>
      </c>
      <c r="B21" s="18"/>
      <c r="C21" s="19"/>
      <c r="D21" s="20"/>
      <c r="E21" s="20"/>
      <c r="F21" s="20"/>
      <c r="G21" s="21"/>
      <c r="H21" s="10" t="str">
        <f aca="false">IF(OR(D21="",G21=""),"",D21*G21)</f>
        <v/>
      </c>
      <c r="I21" s="18"/>
      <c r="J21" s="20"/>
      <c r="K21" s="22"/>
      <c r="L21" s="10" t="str">
        <f aca="false">IF(OR(J21="",H21=""),"",J21*G21-H21-N(K21))</f>
        <v/>
      </c>
      <c r="M21" s="14" t="str">
        <f aca="false">IF(L21="","",L21/H21)</f>
        <v/>
      </c>
      <c r="N21" s="23" t="str">
        <f aca="false">IF(OR(L21="",E21="",D21&lt;=E21),"",L21/((D21-E21)*G21))</f>
        <v/>
      </c>
      <c r="O21" s="15" t="str">
        <f aca="false">IF(OR(D21="",E21="",F21="",D21&lt;=E21),"",(F21-D21)/(D21-E21))</f>
        <v/>
      </c>
      <c r="P21" s="19"/>
      <c r="Q21" s="19"/>
      <c r="R21" s="19"/>
    </row>
    <row r="22" customFormat="false" ht="15" hidden="false" customHeight="false" outlineLevel="0" collapsed="false">
      <c r="A22" s="5" t="n">
        <v>18</v>
      </c>
      <c r="B22" s="18"/>
      <c r="C22" s="19"/>
      <c r="D22" s="20"/>
      <c r="E22" s="20"/>
      <c r="F22" s="20"/>
      <c r="G22" s="21"/>
      <c r="H22" s="10" t="str">
        <f aca="false">IF(OR(D22="",G22=""),"",D22*G22)</f>
        <v/>
      </c>
      <c r="I22" s="18"/>
      <c r="J22" s="20"/>
      <c r="K22" s="22"/>
      <c r="L22" s="10" t="str">
        <f aca="false">IF(OR(J22="",H22=""),"",J22*G22-H22-N(K22))</f>
        <v/>
      </c>
      <c r="M22" s="14" t="str">
        <f aca="false">IF(L22="","",L22/H22)</f>
        <v/>
      </c>
      <c r="N22" s="23" t="str">
        <f aca="false">IF(OR(L22="",E22="",D22&lt;=E22),"",L22/((D22-E22)*G22))</f>
        <v/>
      </c>
      <c r="O22" s="15" t="str">
        <f aca="false">IF(OR(D22="",E22="",F22="",D22&lt;=E22),"",(F22-D22)/(D22-E22))</f>
        <v/>
      </c>
      <c r="P22" s="19"/>
      <c r="Q22" s="19"/>
      <c r="R22" s="19"/>
    </row>
    <row r="23" customFormat="false" ht="15" hidden="false" customHeight="false" outlineLevel="0" collapsed="false">
      <c r="A23" s="5" t="n">
        <v>19</v>
      </c>
      <c r="B23" s="18"/>
      <c r="C23" s="19"/>
      <c r="D23" s="20"/>
      <c r="E23" s="20"/>
      <c r="F23" s="20"/>
      <c r="G23" s="21"/>
      <c r="H23" s="10" t="str">
        <f aca="false">IF(OR(D23="",G23=""),"",D23*G23)</f>
        <v/>
      </c>
      <c r="I23" s="18"/>
      <c r="J23" s="20"/>
      <c r="K23" s="22"/>
      <c r="L23" s="10" t="str">
        <f aca="false">IF(OR(J23="",H23=""),"",J23*G23-H23-N(K23))</f>
        <v/>
      </c>
      <c r="M23" s="14" t="str">
        <f aca="false">IF(L23="","",L23/H23)</f>
        <v/>
      </c>
      <c r="N23" s="23" t="str">
        <f aca="false">IF(OR(L23="",E23="",D23&lt;=E23),"",L23/((D23-E23)*G23))</f>
        <v/>
      </c>
      <c r="O23" s="15" t="str">
        <f aca="false">IF(OR(D23="",E23="",F23="",D23&lt;=E23),"",(F23-D23)/(D23-E23))</f>
        <v/>
      </c>
      <c r="P23" s="19"/>
      <c r="Q23" s="19"/>
      <c r="R23" s="19"/>
    </row>
    <row r="24" customFormat="false" ht="15" hidden="false" customHeight="false" outlineLevel="0" collapsed="false">
      <c r="A24" s="5" t="n">
        <v>20</v>
      </c>
      <c r="B24" s="18"/>
      <c r="C24" s="19"/>
      <c r="D24" s="20"/>
      <c r="E24" s="20"/>
      <c r="F24" s="20"/>
      <c r="G24" s="21"/>
      <c r="H24" s="10" t="str">
        <f aca="false">IF(OR(D24="",G24=""),"",D24*G24)</f>
        <v/>
      </c>
      <c r="I24" s="18"/>
      <c r="J24" s="20"/>
      <c r="K24" s="22"/>
      <c r="L24" s="10" t="str">
        <f aca="false">IF(OR(J24="",H24=""),"",J24*G24-H24-N(K24))</f>
        <v/>
      </c>
      <c r="M24" s="14" t="str">
        <f aca="false">IF(L24="","",L24/H24)</f>
        <v/>
      </c>
      <c r="N24" s="23" t="str">
        <f aca="false">IF(OR(L24="",E24="",D24&lt;=E24),"",L24/((D24-E24)*G24))</f>
        <v/>
      </c>
      <c r="O24" s="15" t="str">
        <f aca="false">IF(OR(D24="",E24="",F24="",D24&lt;=E24),"",(F24-D24)/(D24-E24))</f>
        <v/>
      </c>
      <c r="P24" s="19"/>
      <c r="Q24" s="19"/>
      <c r="R24" s="19"/>
    </row>
    <row r="25" customFormat="false" ht="15" hidden="false" customHeight="false" outlineLevel="0" collapsed="false">
      <c r="A25" s="5" t="n">
        <v>21</v>
      </c>
      <c r="B25" s="18"/>
      <c r="C25" s="19"/>
      <c r="D25" s="20"/>
      <c r="E25" s="20"/>
      <c r="F25" s="20"/>
      <c r="G25" s="21"/>
      <c r="H25" s="10" t="str">
        <f aca="false">IF(OR(D25="",G25=""),"",D25*G25)</f>
        <v/>
      </c>
      <c r="I25" s="18"/>
      <c r="J25" s="20"/>
      <c r="K25" s="22"/>
      <c r="L25" s="10" t="str">
        <f aca="false">IF(OR(J25="",H25=""),"",J25*G25-H25-N(K25))</f>
        <v/>
      </c>
      <c r="M25" s="14" t="str">
        <f aca="false">IF(L25="","",L25/H25)</f>
        <v/>
      </c>
      <c r="N25" s="23" t="str">
        <f aca="false">IF(OR(L25="",E25="",D25&lt;=E25),"",L25/((D25-E25)*G25))</f>
        <v/>
      </c>
      <c r="O25" s="15" t="str">
        <f aca="false">IF(OR(D25="",E25="",F25="",D25&lt;=E25),"",(F25-D25)/(D25-E25))</f>
        <v/>
      </c>
      <c r="P25" s="19"/>
      <c r="Q25" s="19"/>
      <c r="R25" s="19"/>
    </row>
    <row r="26" customFormat="false" ht="15" hidden="false" customHeight="false" outlineLevel="0" collapsed="false">
      <c r="A26" s="5" t="n">
        <v>22</v>
      </c>
      <c r="B26" s="18"/>
      <c r="C26" s="19"/>
      <c r="D26" s="20"/>
      <c r="E26" s="20"/>
      <c r="F26" s="20"/>
      <c r="G26" s="21"/>
      <c r="H26" s="10" t="str">
        <f aca="false">IF(OR(D26="",G26=""),"",D26*G26)</f>
        <v/>
      </c>
      <c r="I26" s="18"/>
      <c r="J26" s="20"/>
      <c r="K26" s="22"/>
      <c r="L26" s="10" t="str">
        <f aca="false">IF(OR(J26="",H26=""),"",J26*G26-H26-N(K26))</f>
        <v/>
      </c>
      <c r="M26" s="14" t="str">
        <f aca="false">IF(L26="","",L26/H26)</f>
        <v/>
      </c>
      <c r="N26" s="23" t="str">
        <f aca="false">IF(OR(L26="",E26="",D26&lt;=E26),"",L26/((D26-E26)*G26))</f>
        <v/>
      </c>
      <c r="O26" s="15" t="str">
        <f aca="false">IF(OR(D26="",E26="",F26="",D26&lt;=E26),"",(F26-D26)/(D26-E26))</f>
        <v/>
      </c>
      <c r="P26" s="19"/>
      <c r="Q26" s="19"/>
      <c r="R26" s="19"/>
    </row>
    <row r="27" customFormat="false" ht="15" hidden="false" customHeight="false" outlineLevel="0" collapsed="false">
      <c r="A27" s="5" t="n">
        <v>23</v>
      </c>
      <c r="B27" s="18"/>
      <c r="C27" s="19"/>
      <c r="D27" s="20"/>
      <c r="E27" s="20"/>
      <c r="F27" s="20"/>
      <c r="G27" s="21"/>
      <c r="H27" s="10" t="str">
        <f aca="false">IF(OR(D27="",G27=""),"",D27*G27)</f>
        <v/>
      </c>
      <c r="I27" s="18"/>
      <c r="J27" s="20"/>
      <c r="K27" s="22"/>
      <c r="L27" s="10" t="str">
        <f aca="false">IF(OR(J27="",H27=""),"",J27*G27-H27-N(K27))</f>
        <v/>
      </c>
      <c r="M27" s="14" t="str">
        <f aca="false">IF(L27="","",L27/H27)</f>
        <v/>
      </c>
      <c r="N27" s="23" t="str">
        <f aca="false">IF(OR(L27="",E27="",D27&lt;=E27),"",L27/((D27-E27)*G27))</f>
        <v/>
      </c>
      <c r="O27" s="15" t="str">
        <f aca="false">IF(OR(D27="",E27="",F27="",D27&lt;=E27),"",(F27-D27)/(D27-E27))</f>
        <v/>
      </c>
      <c r="P27" s="19"/>
      <c r="Q27" s="19"/>
      <c r="R27" s="19"/>
    </row>
    <row r="28" customFormat="false" ht="15" hidden="false" customHeight="false" outlineLevel="0" collapsed="false">
      <c r="A28" s="5" t="n">
        <v>24</v>
      </c>
      <c r="B28" s="18"/>
      <c r="C28" s="19"/>
      <c r="D28" s="20"/>
      <c r="E28" s="20"/>
      <c r="F28" s="20"/>
      <c r="G28" s="21"/>
      <c r="H28" s="10" t="str">
        <f aca="false">IF(OR(D28="",G28=""),"",D28*G28)</f>
        <v/>
      </c>
      <c r="I28" s="18"/>
      <c r="J28" s="20"/>
      <c r="K28" s="22"/>
      <c r="L28" s="10" t="str">
        <f aca="false">IF(OR(J28="",H28=""),"",J28*G28-H28-N(K28))</f>
        <v/>
      </c>
      <c r="M28" s="14" t="str">
        <f aca="false">IF(L28="","",L28/H28)</f>
        <v/>
      </c>
      <c r="N28" s="23" t="str">
        <f aca="false">IF(OR(L28="",E28="",D28&lt;=E28),"",L28/((D28-E28)*G28))</f>
        <v/>
      </c>
      <c r="O28" s="15" t="str">
        <f aca="false">IF(OR(D28="",E28="",F28="",D28&lt;=E28),"",(F28-D28)/(D28-E28))</f>
        <v/>
      </c>
      <c r="P28" s="19"/>
      <c r="Q28" s="19"/>
      <c r="R28" s="19"/>
    </row>
    <row r="29" customFormat="false" ht="15" hidden="false" customHeight="false" outlineLevel="0" collapsed="false">
      <c r="A29" s="5" t="n">
        <v>25</v>
      </c>
      <c r="B29" s="18"/>
      <c r="C29" s="19"/>
      <c r="D29" s="20"/>
      <c r="E29" s="20"/>
      <c r="F29" s="20"/>
      <c r="G29" s="21"/>
      <c r="H29" s="10" t="str">
        <f aca="false">IF(OR(D29="",G29=""),"",D29*G29)</f>
        <v/>
      </c>
      <c r="I29" s="18"/>
      <c r="J29" s="20"/>
      <c r="K29" s="22"/>
      <c r="L29" s="10" t="str">
        <f aca="false">IF(OR(J29="",H29=""),"",J29*G29-H29-N(K29))</f>
        <v/>
      </c>
      <c r="M29" s="14" t="str">
        <f aca="false">IF(L29="","",L29/H29)</f>
        <v/>
      </c>
      <c r="N29" s="23" t="str">
        <f aca="false">IF(OR(L29="",E29="",D29&lt;=E29),"",L29/((D29-E29)*G29))</f>
        <v/>
      </c>
      <c r="O29" s="15" t="str">
        <f aca="false">IF(OR(D29="",E29="",F29="",D29&lt;=E29),"",(F29-D29)/(D29-E29))</f>
        <v/>
      </c>
      <c r="P29" s="19"/>
      <c r="Q29" s="19"/>
      <c r="R29" s="19"/>
    </row>
    <row r="30" customFormat="false" ht="15" hidden="false" customHeight="false" outlineLevel="0" collapsed="false">
      <c r="A30" s="5" t="n">
        <v>26</v>
      </c>
      <c r="B30" s="18"/>
      <c r="C30" s="19"/>
      <c r="D30" s="20"/>
      <c r="E30" s="20"/>
      <c r="F30" s="20"/>
      <c r="G30" s="21"/>
      <c r="H30" s="10" t="str">
        <f aca="false">IF(OR(D30="",G30=""),"",D30*G30)</f>
        <v/>
      </c>
      <c r="I30" s="18"/>
      <c r="J30" s="20"/>
      <c r="K30" s="22"/>
      <c r="L30" s="10" t="str">
        <f aca="false">IF(OR(J30="",H30=""),"",J30*G30-H30-N(K30))</f>
        <v/>
      </c>
      <c r="M30" s="14" t="str">
        <f aca="false">IF(L30="","",L30/H30)</f>
        <v/>
      </c>
      <c r="N30" s="23" t="str">
        <f aca="false">IF(OR(L30="",E30="",D30&lt;=E30),"",L30/((D30-E30)*G30))</f>
        <v/>
      </c>
      <c r="O30" s="15" t="str">
        <f aca="false">IF(OR(D30="",E30="",F30="",D30&lt;=E30),"",(F30-D30)/(D30-E30))</f>
        <v/>
      </c>
      <c r="P30" s="19"/>
      <c r="Q30" s="19"/>
      <c r="R30" s="19"/>
    </row>
    <row r="31" customFormat="false" ht="15" hidden="false" customHeight="false" outlineLevel="0" collapsed="false">
      <c r="A31" s="5" t="n">
        <v>27</v>
      </c>
      <c r="B31" s="18"/>
      <c r="C31" s="19"/>
      <c r="D31" s="20"/>
      <c r="E31" s="20"/>
      <c r="F31" s="20"/>
      <c r="G31" s="21"/>
      <c r="H31" s="10" t="str">
        <f aca="false">IF(OR(D31="",G31=""),"",D31*G31)</f>
        <v/>
      </c>
      <c r="I31" s="18"/>
      <c r="J31" s="20"/>
      <c r="K31" s="22"/>
      <c r="L31" s="10" t="str">
        <f aca="false">IF(OR(J31="",H31=""),"",J31*G31-H31-N(K31))</f>
        <v/>
      </c>
      <c r="M31" s="14" t="str">
        <f aca="false">IF(L31="","",L31/H31)</f>
        <v/>
      </c>
      <c r="N31" s="23" t="str">
        <f aca="false">IF(OR(L31="",E31="",D31&lt;=E31),"",L31/((D31-E31)*G31))</f>
        <v/>
      </c>
      <c r="O31" s="15" t="str">
        <f aca="false">IF(OR(D31="",E31="",F31="",D31&lt;=E31),"",(F31-D31)/(D31-E31))</f>
        <v/>
      </c>
      <c r="P31" s="19"/>
      <c r="Q31" s="19"/>
      <c r="R31" s="19"/>
    </row>
    <row r="32" customFormat="false" ht="15" hidden="false" customHeight="false" outlineLevel="0" collapsed="false">
      <c r="A32" s="5" t="n">
        <v>28</v>
      </c>
      <c r="B32" s="18"/>
      <c r="C32" s="19"/>
      <c r="D32" s="20"/>
      <c r="E32" s="20"/>
      <c r="F32" s="20"/>
      <c r="G32" s="21"/>
      <c r="H32" s="10" t="str">
        <f aca="false">IF(OR(D32="",G32=""),"",D32*G32)</f>
        <v/>
      </c>
      <c r="I32" s="18"/>
      <c r="J32" s="20"/>
      <c r="K32" s="22"/>
      <c r="L32" s="10" t="str">
        <f aca="false">IF(OR(J32="",H32=""),"",J32*G32-H32-N(K32))</f>
        <v/>
      </c>
      <c r="M32" s="14" t="str">
        <f aca="false">IF(L32="","",L32/H32)</f>
        <v/>
      </c>
      <c r="N32" s="23" t="str">
        <f aca="false">IF(OR(L32="",E32="",D32&lt;=E32),"",L32/((D32-E32)*G32))</f>
        <v/>
      </c>
      <c r="O32" s="15" t="str">
        <f aca="false">IF(OR(D32="",E32="",F32="",D32&lt;=E32),"",(F32-D32)/(D32-E32))</f>
        <v/>
      </c>
      <c r="P32" s="19"/>
      <c r="Q32" s="19"/>
      <c r="R32" s="19"/>
    </row>
    <row r="33" customFormat="false" ht="15" hidden="false" customHeight="false" outlineLevel="0" collapsed="false">
      <c r="A33" s="5" t="n">
        <v>29</v>
      </c>
      <c r="B33" s="18"/>
      <c r="C33" s="19"/>
      <c r="D33" s="20"/>
      <c r="E33" s="20"/>
      <c r="F33" s="20"/>
      <c r="G33" s="21"/>
      <c r="H33" s="10" t="str">
        <f aca="false">IF(OR(D33="",G33=""),"",D33*G33)</f>
        <v/>
      </c>
      <c r="I33" s="18"/>
      <c r="J33" s="20"/>
      <c r="K33" s="22"/>
      <c r="L33" s="10" t="str">
        <f aca="false">IF(OR(J33="",H33=""),"",J33*G33-H33-N(K33))</f>
        <v/>
      </c>
      <c r="M33" s="14" t="str">
        <f aca="false">IF(L33="","",L33/H33)</f>
        <v/>
      </c>
      <c r="N33" s="23" t="str">
        <f aca="false">IF(OR(L33="",E33="",D33&lt;=E33),"",L33/((D33-E33)*G33))</f>
        <v/>
      </c>
      <c r="O33" s="15" t="str">
        <f aca="false">IF(OR(D33="",E33="",F33="",D33&lt;=E33),"",(F33-D33)/(D33-E33))</f>
        <v/>
      </c>
      <c r="P33" s="19"/>
      <c r="Q33" s="19"/>
      <c r="R33" s="19"/>
    </row>
    <row r="34" customFormat="false" ht="15" hidden="false" customHeight="false" outlineLevel="0" collapsed="false">
      <c r="A34" s="5" t="n">
        <v>30</v>
      </c>
      <c r="B34" s="18"/>
      <c r="C34" s="19"/>
      <c r="D34" s="20"/>
      <c r="E34" s="20"/>
      <c r="F34" s="20"/>
      <c r="G34" s="21"/>
      <c r="H34" s="10" t="str">
        <f aca="false">IF(OR(D34="",G34=""),"",D34*G34)</f>
        <v/>
      </c>
      <c r="I34" s="18"/>
      <c r="J34" s="20"/>
      <c r="K34" s="22"/>
      <c r="L34" s="10" t="str">
        <f aca="false">IF(OR(J34="",H34=""),"",J34*G34-H34-N(K34))</f>
        <v/>
      </c>
      <c r="M34" s="14" t="str">
        <f aca="false">IF(L34="","",L34/H34)</f>
        <v/>
      </c>
      <c r="N34" s="23" t="str">
        <f aca="false">IF(OR(L34="",E34="",D34&lt;=E34),"",L34/((D34-E34)*G34))</f>
        <v/>
      </c>
      <c r="O34" s="15" t="str">
        <f aca="false">IF(OR(D34="",E34="",F34="",D34&lt;=E34),"",(F34-D34)/(D34-E34))</f>
        <v/>
      </c>
      <c r="P34" s="19"/>
      <c r="Q34" s="19"/>
      <c r="R34" s="19"/>
    </row>
    <row r="35" customFormat="false" ht="15" hidden="false" customHeight="false" outlineLevel="0" collapsed="false">
      <c r="A35" s="5" t="n">
        <v>31</v>
      </c>
      <c r="B35" s="18"/>
      <c r="C35" s="19"/>
      <c r="D35" s="20"/>
      <c r="E35" s="20"/>
      <c r="F35" s="20"/>
      <c r="G35" s="21"/>
      <c r="H35" s="10" t="str">
        <f aca="false">IF(OR(D35="",G35=""),"",D35*G35)</f>
        <v/>
      </c>
      <c r="I35" s="18"/>
      <c r="J35" s="20"/>
      <c r="K35" s="22"/>
      <c r="L35" s="10" t="str">
        <f aca="false">IF(OR(J35="",H35=""),"",J35*G35-H35-N(K35))</f>
        <v/>
      </c>
      <c r="M35" s="14" t="str">
        <f aca="false">IF(L35="","",L35/H35)</f>
        <v/>
      </c>
      <c r="N35" s="23" t="str">
        <f aca="false">IF(OR(L35="",E35="",D35&lt;=E35),"",L35/((D35-E35)*G35))</f>
        <v/>
      </c>
      <c r="O35" s="15" t="str">
        <f aca="false">IF(OR(D35="",E35="",F35="",D35&lt;=E35),"",(F35-D35)/(D35-E35))</f>
        <v/>
      </c>
      <c r="P35" s="19"/>
      <c r="Q35" s="19"/>
      <c r="R35" s="19"/>
    </row>
    <row r="36" customFormat="false" ht="15" hidden="false" customHeight="false" outlineLevel="0" collapsed="false">
      <c r="A36" s="5" t="n">
        <v>32</v>
      </c>
      <c r="B36" s="18"/>
      <c r="C36" s="19"/>
      <c r="D36" s="20"/>
      <c r="E36" s="20"/>
      <c r="F36" s="20"/>
      <c r="G36" s="21"/>
      <c r="H36" s="10" t="str">
        <f aca="false">IF(OR(D36="",G36=""),"",D36*G36)</f>
        <v/>
      </c>
      <c r="I36" s="18"/>
      <c r="J36" s="20"/>
      <c r="K36" s="22"/>
      <c r="L36" s="10" t="str">
        <f aca="false">IF(OR(J36="",H36=""),"",J36*G36-H36-N(K36))</f>
        <v/>
      </c>
      <c r="M36" s="14" t="str">
        <f aca="false">IF(L36="","",L36/H36)</f>
        <v/>
      </c>
      <c r="N36" s="23" t="str">
        <f aca="false">IF(OR(L36="",E36="",D36&lt;=E36),"",L36/((D36-E36)*G36))</f>
        <v/>
      </c>
      <c r="O36" s="15" t="str">
        <f aca="false">IF(OR(D36="",E36="",F36="",D36&lt;=E36),"",(F36-D36)/(D36-E36))</f>
        <v/>
      </c>
      <c r="P36" s="19"/>
      <c r="Q36" s="19"/>
      <c r="R36" s="19"/>
    </row>
    <row r="37" customFormat="false" ht="15" hidden="false" customHeight="false" outlineLevel="0" collapsed="false">
      <c r="A37" s="5" t="n">
        <v>33</v>
      </c>
      <c r="B37" s="18"/>
      <c r="C37" s="19"/>
      <c r="D37" s="20"/>
      <c r="E37" s="20"/>
      <c r="F37" s="20"/>
      <c r="G37" s="21"/>
      <c r="H37" s="10" t="str">
        <f aca="false">IF(OR(D37="",G37=""),"",D37*G37)</f>
        <v/>
      </c>
      <c r="I37" s="18"/>
      <c r="J37" s="20"/>
      <c r="K37" s="22"/>
      <c r="L37" s="10" t="str">
        <f aca="false">IF(OR(J37="",H37=""),"",J37*G37-H37-N(K37))</f>
        <v/>
      </c>
      <c r="M37" s="14" t="str">
        <f aca="false">IF(L37="","",L37/H37)</f>
        <v/>
      </c>
      <c r="N37" s="23" t="str">
        <f aca="false">IF(OR(L37="",E37="",D37&lt;=E37),"",L37/((D37-E37)*G37))</f>
        <v/>
      </c>
      <c r="O37" s="15" t="str">
        <f aca="false">IF(OR(D37="",E37="",F37="",D37&lt;=E37),"",(F37-D37)/(D37-E37))</f>
        <v/>
      </c>
      <c r="P37" s="19"/>
      <c r="Q37" s="19"/>
      <c r="R37" s="19"/>
    </row>
    <row r="38" customFormat="false" ht="15" hidden="false" customHeight="false" outlineLevel="0" collapsed="false">
      <c r="A38" s="5" t="n">
        <v>34</v>
      </c>
      <c r="B38" s="18"/>
      <c r="C38" s="19"/>
      <c r="D38" s="20"/>
      <c r="E38" s="20"/>
      <c r="F38" s="20"/>
      <c r="G38" s="21"/>
      <c r="H38" s="10" t="str">
        <f aca="false">IF(OR(D38="",G38=""),"",D38*G38)</f>
        <v/>
      </c>
      <c r="I38" s="18"/>
      <c r="J38" s="20"/>
      <c r="K38" s="22"/>
      <c r="L38" s="10" t="str">
        <f aca="false">IF(OR(J38="",H38=""),"",J38*G38-H38-N(K38))</f>
        <v/>
      </c>
      <c r="M38" s="14" t="str">
        <f aca="false">IF(L38="","",L38/H38)</f>
        <v/>
      </c>
      <c r="N38" s="23" t="str">
        <f aca="false">IF(OR(L38="",E38="",D38&lt;=E38),"",L38/((D38-E38)*G38))</f>
        <v/>
      </c>
      <c r="O38" s="15" t="str">
        <f aca="false">IF(OR(D38="",E38="",F38="",D38&lt;=E38),"",(F38-D38)/(D38-E38))</f>
        <v/>
      </c>
      <c r="P38" s="19"/>
      <c r="Q38" s="19"/>
      <c r="R38" s="19"/>
    </row>
    <row r="39" customFormat="false" ht="15" hidden="false" customHeight="false" outlineLevel="0" collapsed="false">
      <c r="A39" s="5" t="n">
        <v>35</v>
      </c>
      <c r="B39" s="18"/>
      <c r="C39" s="19"/>
      <c r="D39" s="20"/>
      <c r="E39" s="20"/>
      <c r="F39" s="20"/>
      <c r="G39" s="21"/>
      <c r="H39" s="10" t="str">
        <f aca="false">IF(OR(D39="",G39=""),"",D39*G39)</f>
        <v/>
      </c>
      <c r="I39" s="18"/>
      <c r="J39" s="20"/>
      <c r="K39" s="22"/>
      <c r="L39" s="10" t="str">
        <f aca="false">IF(OR(J39="",H39=""),"",J39*G39-H39-N(K39))</f>
        <v/>
      </c>
      <c r="M39" s="14" t="str">
        <f aca="false">IF(L39="","",L39/H39)</f>
        <v/>
      </c>
      <c r="N39" s="23" t="str">
        <f aca="false">IF(OR(L39="",E39="",D39&lt;=E39),"",L39/((D39-E39)*G39))</f>
        <v/>
      </c>
      <c r="O39" s="15" t="str">
        <f aca="false">IF(OR(D39="",E39="",F39="",D39&lt;=E39),"",(F39-D39)/(D39-E39))</f>
        <v/>
      </c>
      <c r="P39" s="19"/>
      <c r="Q39" s="19"/>
      <c r="R39" s="19"/>
    </row>
    <row r="40" customFormat="false" ht="15" hidden="false" customHeight="false" outlineLevel="0" collapsed="false">
      <c r="A40" s="5" t="n">
        <v>36</v>
      </c>
      <c r="B40" s="18"/>
      <c r="C40" s="19"/>
      <c r="D40" s="20"/>
      <c r="E40" s="20"/>
      <c r="F40" s="20"/>
      <c r="G40" s="21"/>
      <c r="H40" s="10" t="str">
        <f aca="false">IF(OR(D40="",G40=""),"",D40*G40)</f>
        <v/>
      </c>
      <c r="I40" s="18"/>
      <c r="J40" s="20"/>
      <c r="K40" s="22"/>
      <c r="L40" s="10" t="str">
        <f aca="false">IF(OR(J40="",H40=""),"",J40*G40-H40-N(K40))</f>
        <v/>
      </c>
      <c r="M40" s="14" t="str">
        <f aca="false">IF(L40="","",L40/H40)</f>
        <v/>
      </c>
      <c r="N40" s="23" t="str">
        <f aca="false">IF(OR(L40="",E40="",D40&lt;=E40),"",L40/((D40-E40)*G40))</f>
        <v/>
      </c>
      <c r="O40" s="15" t="str">
        <f aca="false">IF(OR(D40="",E40="",F40="",D40&lt;=E40),"",(F40-D40)/(D40-E40))</f>
        <v/>
      </c>
      <c r="P40" s="19"/>
      <c r="Q40" s="19"/>
      <c r="R40" s="19"/>
    </row>
    <row r="41" customFormat="false" ht="15" hidden="false" customHeight="false" outlineLevel="0" collapsed="false">
      <c r="A41" s="5" t="n">
        <v>37</v>
      </c>
      <c r="B41" s="18"/>
      <c r="C41" s="19"/>
      <c r="D41" s="20"/>
      <c r="E41" s="20"/>
      <c r="F41" s="20"/>
      <c r="G41" s="21"/>
      <c r="H41" s="10" t="str">
        <f aca="false">IF(OR(D41="",G41=""),"",D41*G41)</f>
        <v/>
      </c>
      <c r="I41" s="18"/>
      <c r="J41" s="20"/>
      <c r="K41" s="22"/>
      <c r="L41" s="10" t="str">
        <f aca="false">IF(OR(J41="",H41=""),"",J41*G41-H41-N(K41))</f>
        <v/>
      </c>
      <c r="M41" s="14" t="str">
        <f aca="false">IF(L41="","",L41/H41)</f>
        <v/>
      </c>
      <c r="N41" s="23" t="str">
        <f aca="false">IF(OR(L41="",E41="",D41&lt;=E41),"",L41/((D41-E41)*G41))</f>
        <v/>
      </c>
      <c r="O41" s="15" t="str">
        <f aca="false">IF(OR(D41="",E41="",F41="",D41&lt;=E41),"",(F41-D41)/(D41-E41))</f>
        <v/>
      </c>
      <c r="P41" s="19"/>
      <c r="Q41" s="19"/>
      <c r="R41" s="19"/>
    </row>
    <row r="42" customFormat="false" ht="15" hidden="false" customHeight="false" outlineLevel="0" collapsed="false">
      <c r="A42" s="5" t="n">
        <v>38</v>
      </c>
      <c r="B42" s="18"/>
      <c r="C42" s="19"/>
      <c r="D42" s="20"/>
      <c r="E42" s="20"/>
      <c r="F42" s="20"/>
      <c r="G42" s="21"/>
      <c r="H42" s="10" t="str">
        <f aca="false">IF(OR(D42="",G42=""),"",D42*G42)</f>
        <v/>
      </c>
      <c r="I42" s="18"/>
      <c r="J42" s="20"/>
      <c r="K42" s="22"/>
      <c r="L42" s="10" t="str">
        <f aca="false">IF(OR(J42="",H42=""),"",J42*G42-H42-N(K42))</f>
        <v/>
      </c>
      <c r="M42" s="14" t="str">
        <f aca="false">IF(L42="","",L42/H42)</f>
        <v/>
      </c>
      <c r="N42" s="23" t="str">
        <f aca="false">IF(OR(L42="",E42="",D42&lt;=E42),"",L42/((D42-E42)*G42))</f>
        <v/>
      </c>
      <c r="O42" s="15" t="str">
        <f aca="false">IF(OR(D42="",E42="",F42="",D42&lt;=E42),"",(F42-D42)/(D42-E42))</f>
        <v/>
      </c>
      <c r="P42" s="19"/>
      <c r="Q42" s="19"/>
      <c r="R42" s="19"/>
    </row>
    <row r="43" customFormat="false" ht="15" hidden="false" customHeight="false" outlineLevel="0" collapsed="false">
      <c r="A43" s="5" t="n">
        <v>39</v>
      </c>
      <c r="B43" s="18"/>
      <c r="C43" s="19"/>
      <c r="D43" s="20"/>
      <c r="E43" s="20"/>
      <c r="F43" s="20"/>
      <c r="G43" s="21"/>
      <c r="H43" s="10" t="str">
        <f aca="false">IF(OR(D43="",G43=""),"",D43*G43)</f>
        <v/>
      </c>
      <c r="I43" s="18"/>
      <c r="J43" s="20"/>
      <c r="K43" s="22"/>
      <c r="L43" s="10" t="str">
        <f aca="false">IF(OR(J43="",H43=""),"",J43*G43-H43-N(K43))</f>
        <v/>
      </c>
      <c r="M43" s="14" t="str">
        <f aca="false">IF(L43="","",L43/H43)</f>
        <v/>
      </c>
      <c r="N43" s="23" t="str">
        <f aca="false">IF(OR(L43="",E43="",D43&lt;=E43),"",L43/((D43-E43)*G43))</f>
        <v/>
      </c>
      <c r="O43" s="15" t="str">
        <f aca="false">IF(OR(D43="",E43="",F43="",D43&lt;=E43),"",(F43-D43)/(D43-E43))</f>
        <v/>
      </c>
      <c r="P43" s="19"/>
      <c r="Q43" s="19"/>
      <c r="R43" s="19"/>
    </row>
    <row r="44" customFormat="false" ht="15" hidden="false" customHeight="false" outlineLevel="0" collapsed="false">
      <c r="A44" s="5" t="n">
        <v>40</v>
      </c>
      <c r="B44" s="18"/>
      <c r="C44" s="19"/>
      <c r="D44" s="20"/>
      <c r="E44" s="20"/>
      <c r="F44" s="20"/>
      <c r="G44" s="21"/>
      <c r="H44" s="10" t="str">
        <f aca="false">IF(OR(D44="",G44=""),"",D44*G44)</f>
        <v/>
      </c>
      <c r="I44" s="18"/>
      <c r="J44" s="20"/>
      <c r="K44" s="22"/>
      <c r="L44" s="10" t="str">
        <f aca="false">IF(OR(J44="",H44=""),"",J44*G44-H44-N(K44))</f>
        <v/>
      </c>
      <c r="M44" s="14" t="str">
        <f aca="false">IF(L44="","",L44/H44)</f>
        <v/>
      </c>
      <c r="N44" s="23" t="str">
        <f aca="false">IF(OR(L44="",E44="",D44&lt;=E44),"",L44/((D44-E44)*G44))</f>
        <v/>
      </c>
      <c r="O44" s="15" t="str">
        <f aca="false">IF(OR(D44="",E44="",F44="",D44&lt;=E44),"",(F44-D44)/(D44-E44))</f>
        <v/>
      </c>
      <c r="P44" s="19"/>
      <c r="Q44" s="19"/>
      <c r="R44" s="19"/>
    </row>
    <row r="45" customFormat="false" ht="15" hidden="false" customHeight="false" outlineLevel="0" collapsed="false">
      <c r="A45" s="5" t="n">
        <v>41</v>
      </c>
      <c r="B45" s="18"/>
      <c r="C45" s="19"/>
      <c r="D45" s="20"/>
      <c r="E45" s="20"/>
      <c r="F45" s="20"/>
      <c r="G45" s="21"/>
      <c r="H45" s="10" t="str">
        <f aca="false">IF(OR(D45="",G45=""),"",D45*G45)</f>
        <v/>
      </c>
      <c r="I45" s="18"/>
      <c r="J45" s="20"/>
      <c r="K45" s="22"/>
      <c r="L45" s="10" t="str">
        <f aca="false">IF(OR(J45="",H45=""),"",J45*G45-H45-N(K45))</f>
        <v/>
      </c>
      <c r="M45" s="14" t="str">
        <f aca="false">IF(L45="","",L45/H45)</f>
        <v/>
      </c>
      <c r="N45" s="23" t="str">
        <f aca="false">IF(OR(L45="",E45="",D45&lt;=E45),"",L45/((D45-E45)*G45))</f>
        <v/>
      </c>
      <c r="O45" s="15" t="str">
        <f aca="false">IF(OR(D45="",E45="",F45="",D45&lt;=E45),"",(F45-D45)/(D45-E45))</f>
        <v/>
      </c>
      <c r="P45" s="19"/>
      <c r="Q45" s="19"/>
      <c r="R45" s="19"/>
    </row>
    <row r="46" customFormat="false" ht="15" hidden="false" customHeight="false" outlineLevel="0" collapsed="false">
      <c r="A46" s="5" t="n">
        <v>42</v>
      </c>
      <c r="B46" s="18"/>
      <c r="C46" s="19"/>
      <c r="D46" s="20"/>
      <c r="E46" s="20"/>
      <c r="F46" s="20"/>
      <c r="G46" s="21"/>
      <c r="H46" s="10" t="str">
        <f aca="false">IF(OR(D46="",G46=""),"",D46*G46)</f>
        <v/>
      </c>
      <c r="I46" s="18"/>
      <c r="J46" s="20"/>
      <c r="K46" s="22"/>
      <c r="L46" s="10" t="str">
        <f aca="false">IF(OR(J46="",H46=""),"",J46*G46-H46-N(K46))</f>
        <v/>
      </c>
      <c r="M46" s="14" t="str">
        <f aca="false">IF(L46="","",L46/H46)</f>
        <v/>
      </c>
      <c r="N46" s="23" t="str">
        <f aca="false">IF(OR(L46="",E46="",D46&lt;=E46),"",L46/((D46-E46)*G46))</f>
        <v/>
      </c>
      <c r="O46" s="15" t="str">
        <f aca="false">IF(OR(D46="",E46="",F46="",D46&lt;=E46),"",(F46-D46)/(D46-E46))</f>
        <v/>
      </c>
      <c r="P46" s="19"/>
      <c r="Q46" s="19"/>
      <c r="R46" s="19"/>
    </row>
    <row r="47" customFormat="false" ht="15" hidden="false" customHeight="false" outlineLevel="0" collapsed="false">
      <c r="A47" s="5" t="n">
        <v>43</v>
      </c>
      <c r="B47" s="18"/>
      <c r="C47" s="19"/>
      <c r="D47" s="20"/>
      <c r="E47" s="20"/>
      <c r="F47" s="20"/>
      <c r="G47" s="21"/>
      <c r="H47" s="10" t="str">
        <f aca="false">IF(OR(D47="",G47=""),"",D47*G47)</f>
        <v/>
      </c>
      <c r="I47" s="18"/>
      <c r="J47" s="20"/>
      <c r="K47" s="22"/>
      <c r="L47" s="10" t="str">
        <f aca="false">IF(OR(J47="",H47=""),"",J47*G47-H47-N(K47))</f>
        <v/>
      </c>
      <c r="M47" s="14" t="str">
        <f aca="false">IF(L47="","",L47/H47)</f>
        <v/>
      </c>
      <c r="N47" s="23" t="str">
        <f aca="false">IF(OR(L47="",E47="",D47&lt;=E47),"",L47/((D47-E47)*G47))</f>
        <v/>
      </c>
      <c r="O47" s="15" t="str">
        <f aca="false">IF(OR(D47="",E47="",F47="",D47&lt;=E47),"",(F47-D47)/(D47-E47))</f>
        <v/>
      </c>
      <c r="P47" s="19"/>
      <c r="Q47" s="19"/>
      <c r="R47" s="19"/>
    </row>
    <row r="48" customFormat="false" ht="15" hidden="false" customHeight="false" outlineLevel="0" collapsed="false">
      <c r="A48" s="5" t="n">
        <v>44</v>
      </c>
      <c r="B48" s="18"/>
      <c r="C48" s="19"/>
      <c r="D48" s="20"/>
      <c r="E48" s="20"/>
      <c r="F48" s="20"/>
      <c r="G48" s="21"/>
      <c r="H48" s="10" t="str">
        <f aca="false">IF(OR(D48="",G48=""),"",D48*G48)</f>
        <v/>
      </c>
      <c r="I48" s="18"/>
      <c r="J48" s="20"/>
      <c r="K48" s="22"/>
      <c r="L48" s="10" t="str">
        <f aca="false">IF(OR(J48="",H48=""),"",J48*G48-H48-N(K48))</f>
        <v/>
      </c>
      <c r="M48" s="14" t="str">
        <f aca="false">IF(L48="","",L48/H48)</f>
        <v/>
      </c>
      <c r="N48" s="23" t="str">
        <f aca="false">IF(OR(L48="",E48="",D48&lt;=E48),"",L48/((D48-E48)*G48))</f>
        <v/>
      </c>
      <c r="O48" s="15" t="str">
        <f aca="false">IF(OR(D48="",E48="",F48="",D48&lt;=E48),"",(F48-D48)/(D48-E48))</f>
        <v/>
      </c>
      <c r="P48" s="19"/>
      <c r="Q48" s="19"/>
      <c r="R48" s="19"/>
    </row>
    <row r="49" customFormat="false" ht="15" hidden="false" customHeight="false" outlineLevel="0" collapsed="false">
      <c r="A49" s="5" t="n">
        <v>45</v>
      </c>
      <c r="B49" s="18"/>
      <c r="C49" s="19"/>
      <c r="D49" s="20"/>
      <c r="E49" s="20"/>
      <c r="F49" s="20"/>
      <c r="G49" s="21"/>
      <c r="H49" s="10" t="str">
        <f aca="false">IF(OR(D49="",G49=""),"",D49*G49)</f>
        <v/>
      </c>
      <c r="I49" s="18"/>
      <c r="J49" s="20"/>
      <c r="K49" s="22"/>
      <c r="L49" s="10" t="str">
        <f aca="false">IF(OR(J49="",H49=""),"",J49*G49-H49-N(K49))</f>
        <v/>
      </c>
      <c r="M49" s="14" t="str">
        <f aca="false">IF(L49="","",L49/H49)</f>
        <v/>
      </c>
      <c r="N49" s="23" t="str">
        <f aca="false">IF(OR(L49="",E49="",D49&lt;=E49),"",L49/((D49-E49)*G49))</f>
        <v/>
      </c>
      <c r="O49" s="15" t="str">
        <f aca="false">IF(OR(D49="",E49="",F49="",D49&lt;=E49),"",(F49-D49)/(D49-E49))</f>
        <v/>
      </c>
      <c r="P49" s="19"/>
      <c r="Q49" s="19"/>
      <c r="R49" s="19"/>
    </row>
    <row r="50" customFormat="false" ht="15" hidden="false" customHeight="false" outlineLevel="0" collapsed="false">
      <c r="A50" s="5" t="n">
        <v>46</v>
      </c>
      <c r="B50" s="18"/>
      <c r="C50" s="19"/>
      <c r="D50" s="20"/>
      <c r="E50" s="20"/>
      <c r="F50" s="20"/>
      <c r="G50" s="21"/>
      <c r="H50" s="10" t="str">
        <f aca="false">IF(OR(D50="",G50=""),"",D50*G50)</f>
        <v/>
      </c>
      <c r="I50" s="18"/>
      <c r="J50" s="20"/>
      <c r="K50" s="22"/>
      <c r="L50" s="10" t="str">
        <f aca="false">IF(OR(J50="",H50=""),"",J50*G50-H50-N(K50))</f>
        <v/>
      </c>
      <c r="M50" s="14" t="str">
        <f aca="false">IF(L50="","",L50/H50)</f>
        <v/>
      </c>
      <c r="N50" s="23" t="str">
        <f aca="false">IF(OR(L50="",E50="",D50&lt;=E50),"",L50/((D50-E50)*G50))</f>
        <v/>
      </c>
      <c r="O50" s="15" t="str">
        <f aca="false">IF(OR(D50="",E50="",F50="",D50&lt;=E50),"",(F50-D50)/(D50-E50))</f>
        <v/>
      </c>
      <c r="P50" s="19"/>
      <c r="Q50" s="19"/>
      <c r="R50" s="19"/>
    </row>
    <row r="51" customFormat="false" ht="15" hidden="false" customHeight="false" outlineLevel="0" collapsed="false">
      <c r="A51" s="5" t="n">
        <v>47</v>
      </c>
      <c r="B51" s="18"/>
      <c r="C51" s="19"/>
      <c r="D51" s="20"/>
      <c r="E51" s="20"/>
      <c r="F51" s="20"/>
      <c r="G51" s="21"/>
      <c r="H51" s="10" t="str">
        <f aca="false">IF(OR(D51="",G51=""),"",D51*G51)</f>
        <v/>
      </c>
      <c r="I51" s="18"/>
      <c r="J51" s="20"/>
      <c r="K51" s="22"/>
      <c r="L51" s="10" t="str">
        <f aca="false">IF(OR(J51="",H51=""),"",J51*G51-H51-N(K51))</f>
        <v/>
      </c>
      <c r="M51" s="14" t="str">
        <f aca="false">IF(L51="","",L51/H51)</f>
        <v/>
      </c>
      <c r="N51" s="23" t="str">
        <f aca="false">IF(OR(L51="",E51="",D51&lt;=E51),"",L51/((D51-E51)*G51))</f>
        <v/>
      </c>
      <c r="O51" s="15" t="str">
        <f aca="false">IF(OR(D51="",E51="",F51="",D51&lt;=E51),"",(F51-D51)/(D51-E51))</f>
        <v/>
      </c>
      <c r="P51" s="19"/>
      <c r="Q51" s="19"/>
      <c r="R51" s="19"/>
    </row>
    <row r="52" customFormat="false" ht="15" hidden="false" customHeight="false" outlineLevel="0" collapsed="false">
      <c r="A52" s="5" t="n">
        <v>48</v>
      </c>
      <c r="B52" s="18"/>
      <c r="C52" s="19"/>
      <c r="D52" s="20"/>
      <c r="E52" s="20"/>
      <c r="F52" s="20"/>
      <c r="G52" s="21"/>
      <c r="H52" s="10" t="str">
        <f aca="false">IF(OR(D52="",G52=""),"",D52*G52)</f>
        <v/>
      </c>
      <c r="I52" s="18"/>
      <c r="J52" s="20"/>
      <c r="K52" s="22"/>
      <c r="L52" s="10" t="str">
        <f aca="false">IF(OR(J52="",H52=""),"",J52*G52-H52-N(K52))</f>
        <v/>
      </c>
      <c r="M52" s="14" t="str">
        <f aca="false">IF(L52="","",L52/H52)</f>
        <v/>
      </c>
      <c r="N52" s="23" t="str">
        <f aca="false">IF(OR(L52="",E52="",D52&lt;=E52),"",L52/((D52-E52)*G52))</f>
        <v/>
      </c>
      <c r="O52" s="15" t="str">
        <f aca="false">IF(OR(D52="",E52="",F52="",D52&lt;=E52),"",(F52-D52)/(D52-E52))</f>
        <v/>
      </c>
      <c r="P52" s="19"/>
      <c r="Q52" s="19"/>
      <c r="R52" s="19"/>
    </row>
    <row r="53" customFormat="false" ht="15" hidden="false" customHeight="false" outlineLevel="0" collapsed="false">
      <c r="A53" s="5" t="n">
        <v>49</v>
      </c>
      <c r="B53" s="18"/>
      <c r="C53" s="19"/>
      <c r="D53" s="20"/>
      <c r="E53" s="20"/>
      <c r="F53" s="20"/>
      <c r="G53" s="21"/>
      <c r="H53" s="10" t="str">
        <f aca="false">IF(OR(D53="",G53=""),"",D53*G53)</f>
        <v/>
      </c>
      <c r="I53" s="18"/>
      <c r="J53" s="20"/>
      <c r="K53" s="22"/>
      <c r="L53" s="10" t="str">
        <f aca="false">IF(OR(J53="",H53=""),"",J53*G53-H53-N(K53))</f>
        <v/>
      </c>
      <c r="M53" s="14" t="str">
        <f aca="false">IF(L53="","",L53/H53)</f>
        <v/>
      </c>
      <c r="N53" s="23" t="str">
        <f aca="false">IF(OR(L53="",E53="",D53&lt;=E53),"",L53/((D53-E53)*G53))</f>
        <v/>
      </c>
      <c r="O53" s="15" t="str">
        <f aca="false">IF(OR(D53="",E53="",F53="",D53&lt;=E53),"",(F53-D53)/(D53-E53))</f>
        <v/>
      </c>
      <c r="P53" s="19"/>
      <c r="Q53" s="19"/>
      <c r="R53" s="19"/>
    </row>
    <row r="54" customFormat="false" ht="15" hidden="false" customHeight="false" outlineLevel="0" collapsed="false">
      <c r="A54" s="5" t="n">
        <v>50</v>
      </c>
      <c r="B54" s="18"/>
      <c r="C54" s="19"/>
      <c r="D54" s="20"/>
      <c r="E54" s="20"/>
      <c r="F54" s="20"/>
      <c r="G54" s="21"/>
      <c r="H54" s="10" t="str">
        <f aca="false">IF(OR(D54="",G54=""),"",D54*G54)</f>
        <v/>
      </c>
      <c r="I54" s="18"/>
      <c r="J54" s="20"/>
      <c r="K54" s="22"/>
      <c r="L54" s="10" t="str">
        <f aca="false">IF(OR(J54="",H54=""),"",J54*G54-H54-N(K54))</f>
        <v/>
      </c>
      <c r="M54" s="14" t="str">
        <f aca="false">IF(L54="","",L54/H54)</f>
        <v/>
      </c>
      <c r="N54" s="23" t="str">
        <f aca="false">IF(OR(L54="",E54="",D54&lt;=E54),"",L54/((D54-E54)*G54))</f>
        <v/>
      </c>
      <c r="O54" s="15" t="str">
        <f aca="false">IF(OR(D54="",E54="",F54="",D54&lt;=E54),"",(F54-D54)/(D54-E54))</f>
        <v/>
      </c>
      <c r="P54" s="19"/>
      <c r="Q54" s="19"/>
      <c r="R54" s="19"/>
    </row>
    <row r="55" customFormat="false" ht="15" hidden="false" customHeight="false" outlineLevel="0" collapsed="false">
      <c r="A55" s="5" t="n">
        <v>51</v>
      </c>
      <c r="B55" s="18"/>
      <c r="C55" s="19"/>
      <c r="D55" s="20"/>
      <c r="E55" s="20"/>
      <c r="F55" s="20"/>
      <c r="G55" s="21"/>
      <c r="H55" s="10" t="str">
        <f aca="false">IF(OR(D55="",G55=""),"",D55*G55)</f>
        <v/>
      </c>
      <c r="I55" s="18"/>
      <c r="J55" s="20"/>
      <c r="K55" s="22"/>
      <c r="L55" s="10" t="str">
        <f aca="false">IF(OR(J55="",H55=""),"",J55*G55-H55-N(K55))</f>
        <v/>
      </c>
      <c r="M55" s="14" t="str">
        <f aca="false">IF(L55="","",L55/H55)</f>
        <v/>
      </c>
      <c r="N55" s="23" t="str">
        <f aca="false">IF(OR(L55="",E55="",D55&lt;=E55),"",L55/((D55-E55)*G55))</f>
        <v/>
      </c>
      <c r="O55" s="15" t="str">
        <f aca="false">IF(OR(D55="",E55="",F55="",D55&lt;=E55),"",(F55-D55)/(D55-E55))</f>
        <v/>
      </c>
      <c r="P55" s="19"/>
      <c r="Q55" s="19"/>
      <c r="R55" s="19"/>
    </row>
    <row r="56" customFormat="false" ht="15" hidden="false" customHeight="false" outlineLevel="0" collapsed="false">
      <c r="A56" s="5" t="n">
        <v>52</v>
      </c>
      <c r="B56" s="18"/>
      <c r="C56" s="19"/>
      <c r="D56" s="20"/>
      <c r="E56" s="20"/>
      <c r="F56" s="20"/>
      <c r="G56" s="21"/>
      <c r="H56" s="10" t="str">
        <f aca="false">IF(OR(D56="",G56=""),"",D56*G56)</f>
        <v/>
      </c>
      <c r="I56" s="18"/>
      <c r="J56" s="20"/>
      <c r="K56" s="22"/>
      <c r="L56" s="10" t="str">
        <f aca="false">IF(OR(J56="",H56=""),"",J56*G56-H56-N(K56))</f>
        <v/>
      </c>
      <c r="M56" s="14" t="str">
        <f aca="false">IF(L56="","",L56/H56)</f>
        <v/>
      </c>
      <c r="N56" s="23" t="str">
        <f aca="false">IF(OR(L56="",E56="",D56&lt;=E56),"",L56/((D56-E56)*G56))</f>
        <v/>
      </c>
      <c r="O56" s="15" t="str">
        <f aca="false">IF(OR(D56="",E56="",F56="",D56&lt;=E56),"",(F56-D56)/(D56-E56))</f>
        <v/>
      </c>
      <c r="P56" s="19"/>
      <c r="Q56" s="19"/>
      <c r="R56" s="19"/>
    </row>
    <row r="57" customFormat="false" ht="15" hidden="false" customHeight="false" outlineLevel="0" collapsed="false">
      <c r="A57" s="5" t="n">
        <v>53</v>
      </c>
      <c r="B57" s="18"/>
      <c r="C57" s="19"/>
      <c r="D57" s="20"/>
      <c r="E57" s="20"/>
      <c r="F57" s="20"/>
      <c r="G57" s="21"/>
      <c r="H57" s="10" t="str">
        <f aca="false">IF(OR(D57="",G57=""),"",D57*G57)</f>
        <v/>
      </c>
      <c r="I57" s="18"/>
      <c r="J57" s="20"/>
      <c r="K57" s="22"/>
      <c r="L57" s="10" t="str">
        <f aca="false">IF(OR(J57="",H57=""),"",J57*G57-H57-N(K57))</f>
        <v/>
      </c>
      <c r="M57" s="14" t="str">
        <f aca="false">IF(L57="","",L57/H57)</f>
        <v/>
      </c>
      <c r="N57" s="23" t="str">
        <f aca="false">IF(OR(L57="",E57="",D57&lt;=E57),"",L57/((D57-E57)*G57))</f>
        <v/>
      </c>
      <c r="O57" s="15" t="str">
        <f aca="false">IF(OR(D57="",E57="",F57="",D57&lt;=E57),"",(F57-D57)/(D57-E57))</f>
        <v/>
      </c>
      <c r="P57" s="19"/>
      <c r="Q57" s="19"/>
      <c r="R57" s="19"/>
    </row>
    <row r="58" customFormat="false" ht="15" hidden="false" customHeight="false" outlineLevel="0" collapsed="false">
      <c r="A58" s="5" t="n">
        <v>54</v>
      </c>
      <c r="B58" s="18"/>
      <c r="C58" s="19"/>
      <c r="D58" s="20"/>
      <c r="E58" s="20"/>
      <c r="F58" s="20"/>
      <c r="G58" s="21"/>
      <c r="H58" s="10" t="str">
        <f aca="false">IF(OR(D58="",G58=""),"",D58*G58)</f>
        <v/>
      </c>
      <c r="I58" s="18"/>
      <c r="J58" s="20"/>
      <c r="K58" s="22"/>
      <c r="L58" s="10" t="str">
        <f aca="false">IF(OR(J58="",H58=""),"",J58*G58-H58-N(K58))</f>
        <v/>
      </c>
      <c r="M58" s="14" t="str">
        <f aca="false">IF(L58="","",L58/H58)</f>
        <v/>
      </c>
      <c r="N58" s="23" t="str">
        <f aca="false">IF(OR(L58="",E58="",D58&lt;=E58),"",L58/((D58-E58)*G58))</f>
        <v/>
      </c>
      <c r="O58" s="15" t="str">
        <f aca="false">IF(OR(D58="",E58="",F58="",D58&lt;=E58),"",(F58-D58)/(D58-E58))</f>
        <v/>
      </c>
      <c r="P58" s="19"/>
      <c r="Q58" s="19"/>
      <c r="R58" s="19"/>
    </row>
    <row r="59" customFormat="false" ht="15" hidden="false" customHeight="false" outlineLevel="0" collapsed="false">
      <c r="A59" s="5" t="n">
        <v>55</v>
      </c>
      <c r="B59" s="18"/>
      <c r="C59" s="19"/>
      <c r="D59" s="20"/>
      <c r="E59" s="20"/>
      <c r="F59" s="20"/>
      <c r="G59" s="21"/>
      <c r="H59" s="10" t="str">
        <f aca="false">IF(OR(D59="",G59=""),"",D59*G59)</f>
        <v/>
      </c>
      <c r="I59" s="18"/>
      <c r="J59" s="20"/>
      <c r="K59" s="22"/>
      <c r="L59" s="10" t="str">
        <f aca="false">IF(OR(J59="",H59=""),"",J59*G59-H59-N(K59))</f>
        <v/>
      </c>
      <c r="M59" s="14" t="str">
        <f aca="false">IF(L59="","",L59/H59)</f>
        <v/>
      </c>
      <c r="N59" s="23" t="str">
        <f aca="false">IF(OR(L59="",E59="",D59&lt;=E59),"",L59/((D59-E59)*G59))</f>
        <v/>
      </c>
      <c r="O59" s="15" t="str">
        <f aca="false">IF(OR(D59="",E59="",F59="",D59&lt;=E59),"",(F59-D59)/(D59-E59))</f>
        <v/>
      </c>
      <c r="P59" s="19"/>
      <c r="Q59" s="19"/>
      <c r="R59" s="19"/>
    </row>
    <row r="60" customFormat="false" ht="15" hidden="false" customHeight="false" outlineLevel="0" collapsed="false">
      <c r="A60" s="5" t="n">
        <v>56</v>
      </c>
      <c r="B60" s="18"/>
      <c r="C60" s="19"/>
      <c r="D60" s="20"/>
      <c r="E60" s="20"/>
      <c r="F60" s="20"/>
      <c r="G60" s="21"/>
      <c r="H60" s="10" t="str">
        <f aca="false">IF(OR(D60="",G60=""),"",D60*G60)</f>
        <v/>
      </c>
      <c r="I60" s="18"/>
      <c r="J60" s="20"/>
      <c r="K60" s="22"/>
      <c r="L60" s="10" t="str">
        <f aca="false">IF(OR(J60="",H60=""),"",J60*G60-H60-N(K60))</f>
        <v/>
      </c>
      <c r="M60" s="14" t="str">
        <f aca="false">IF(L60="","",L60/H60)</f>
        <v/>
      </c>
      <c r="N60" s="23" t="str">
        <f aca="false">IF(OR(L60="",E60="",D60&lt;=E60),"",L60/((D60-E60)*G60))</f>
        <v/>
      </c>
      <c r="O60" s="15" t="str">
        <f aca="false">IF(OR(D60="",E60="",F60="",D60&lt;=E60),"",(F60-D60)/(D60-E60))</f>
        <v/>
      </c>
      <c r="P60" s="19"/>
      <c r="Q60" s="19"/>
      <c r="R60" s="19"/>
    </row>
    <row r="61" customFormat="false" ht="15" hidden="false" customHeight="false" outlineLevel="0" collapsed="false">
      <c r="A61" s="5" t="n">
        <v>57</v>
      </c>
      <c r="B61" s="18"/>
      <c r="C61" s="19"/>
      <c r="D61" s="20"/>
      <c r="E61" s="20"/>
      <c r="F61" s="20"/>
      <c r="G61" s="21"/>
      <c r="H61" s="10" t="str">
        <f aca="false">IF(OR(D61="",G61=""),"",D61*G61)</f>
        <v/>
      </c>
      <c r="I61" s="18"/>
      <c r="J61" s="20"/>
      <c r="K61" s="22"/>
      <c r="L61" s="10" t="str">
        <f aca="false">IF(OR(J61="",H61=""),"",J61*G61-H61-N(K61))</f>
        <v/>
      </c>
      <c r="M61" s="14" t="str">
        <f aca="false">IF(L61="","",L61/H61)</f>
        <v/>
      </c>
      <c r="N61" s="23" t="str">
        <f aca="false">IF(OR(L61="",E61="",D61&lt;=E61),"",L61/((D61-E61)*G61))</f>
        <v/>
      </c>
      <c r="O61" s="15" t="str">
        <f aca="false">IF(OR(D61="",E61="",F61="",D61&lt;=E61),"",(F61-D61)/(D61-E61))</f>
        <v/>
      </c>
      <c r="P61" s="19"/>
      <c r="Q61" s="19"/>
      <c r="R61" s="19"/>
    </row>
    <row r="62" customFormat="false" ht="15" hidden="false" customHeight="false" outlineLevel="0" collapsed="false">
      <c r="A62" s="5" t="n">
        <v>58</v>
      </c>
      <c r="B62" s="18"/>
      <c r="C62" s="19"/>
      <c r="D62" s="20"/>
      <c r="E62" s="20"/>
      <c r="F62" s="20"/>
      <c r="G62" s="21"/>
      <c r="H62" s="10" t="str">
        <f aca="false">IF(OR(D62="",G62=""),"",D62*G62)</f>
        <v/>
      </c>
      <c r="I62" s="18"/>
      <c r="J62" s="20"/>
      <c r="K62" s="22"/>
      <c r="L62" s="10" t="str">
        <f aca="false">IF(OR(J62="",H62=""),"",J62*G62-H62-N(K62))</f>
        <v/>
      </c>
      <c r="M62" s="14" t="str">
        <f aca="false">IF(L62="","",L62/H62)</f>
        <v/>
      </c>
      <c r="N62" s="23" t="str">
        <f aca="false">IF(OR(L62="",E62="",D62&lt;=E62),"",L62/((D62-E62)*G62))</f>
        <v/>
      </c>
      <c r="O62" s="15" t="str">
        <f aca="false">IF(OR(D62="",E62="",F62="",D62&lt;=E62),"",(F62-D62)/(D62-E62))</f>
        <v/>
      </c>
      <c r="P62" s="19"/>
      <c r="Q62" s="19"/>
      <c r="R62" s="19"/>
    </row>
    <row r="63" customFormat="false" ht="15" hidden="false" customHeight="false" outlineLevel="0" collapsed="false">
      <c r="A63" s="5" t="n">
        <v>59</v>
      </c>
      <c r="B63" s="18"/>
      <c r="C63" s="19"/>
      <c r="D63" s="20"/>
      <c r="E63" s="20"/>
      <c r="F63" s="20"/>
      <c r="G63" s="21"/>
      <c r="H63" s="10" t="str">
        <f aca="false">IF(OR(D63="",G63=""),"",D63*G63)</f>
        <v/>
      </c>
      <c r="I63" s="18"/>
      <c r="J63" s="20"/>
      <c r="K63" s="22"/>
      <c r="L63" s="10" t="str">
        <f aca="false">IF(OR(J63="",H63=""),"",J63*G63-H63-N(K63))</f>
        <v/>
      </c>
      <c r="M63" s="14" t="str">
        <f aca="false">IF(L63="","",L63/H63)</f>
        <v/>
      </c>
      <c r="N63" s="23" t="str">
        <f aca="false">IF(OR(L63="",E63="",D63&lt;=E63),"",L63/((D63-E63)*G63))</f>
        <v/>
      </c>
      <c r="O63" s="15" t="str">
        <f aca="false">IF(OR(D63="",E63="",F63="",D63&lt;=E63),"",(F63-D63)/(D63-E63))</f>
        <v/>
      </c>
      <c r="P63" s="19"/>
      <c r="Q63" s="19"/>
      <c r="R63" s="19"/>
    </row>
    <row r="64" customFormat="false" ht="15" hidden="false" customHeight="false" outlineLevel="0" collapsed="false">
      <c r="A64" s="5" t="n">
        <v>60</v>
      </c>
      <c r="B64" s="18"/>
      <c r="C64" s="19"/>
      <c r="D64" s="20"/>
      <c r="E64" s="20"/>
      <c r="F64" s="20"/>
      <c r="G64" s="21"/>
      <c r="H64" s="10" t="str">
        <f aca="false">IF(OR(D64="",G64=""),"",D64*G64)</f>
        <v/>
      </c>
      <c r="I64" s="18"/>
      <c r="J64" s="20"/>
      <c r="K64" s="22"/>
      <c r="L64" s="10" t="str">
        <f aca="false">IF(OR(J64="",H64=""),"",J64*G64-H64-N(K64))</f>
        <v/>
      </c>
      <c r="M64" s="14" t="str">
        <f aca="false">IF(L64="","",L64/H64)</f>
        <v/>
      </c>
      <c r="N64" s="23" t="str">
        <f aca="false">IF(OR(L64="",E64="",D64&lt;=E64),"",L64/((D64-E64)*G64))</f>
        <v/>
      </c>
      <c r="O64" s="15" t="str">
        <f aca="false">IF(OR(D64="",E64="",F64="",D64&lt;=E64),"",(F64-D64)/(D64-E64))</f>
        <v/>
      </c>
      <c r="P64" s="19"/>
      <c r="Q64" s="19"/>
      <c r="R64" s="19"/>
    </row>
    <row r="65" customFormat="false" ht="15" hidden="false" customHeight="false" outlineLevel="0" collapsed="false">
      <c r="A65" s="5" t="n">
        <v>61</v>
      </c>
      <c r="B65" s="18"/>
      <c r="C65" s="19"/>
      <c r="D65" s="20"/>
      <c r="E65" s="20"/>
      <c r="F65" s="20"/>
      <c r="G65" s="21"/>
      <c r="H65" s="10" t="str">
        <f aca="false">IF(OR(D65="",G65=""),"",D65*G65)</f>
        <v/>
      </c>
      <c r="I65" s="18"/>
      <c r="J65" s="20"/>
      <c r="K65" s="22"/>
      <c r="L65" s="10" t="str">
        <f aca="false">IF(OR(J65="",H65=""),"",J65*G65-H65-N(K65))</f>
        <v/>
      </c>
      <c r="M65" s="14" t="str">
        <f aca="false">IF(L65="","",L65/H65)</f>
        <v/>
      </c>
      <c r="N65" s="23" t="str">
        <f aca="false">IF(OR(L65="",E65="",D65&lt;=E65),"",L65/((D65-E65)*G65))</f>
        <v/>
      </c>
      <c r="O65" s="15" t="str">
        <f aca="false">IF(OR(D65="",E65="",F65="",D65&lt;=E65),"",(F65-D65)/(D65-E65))</f>
        <v/>
      </c>
      <c r="P65" s="19"/>
      <c r="Q65" s="19"/>
      <c r="R65" s="19"/>
    </row>
    <row r="66" customFormat="false" ht="15" hidden="false" customHeight="false" outlineLevel="0" collapsed="false">
      <c r="A66" s="5" t="n">
        <v>62</v>
      </c>
      <c r="B66" s="18"/>
      <c r="C66" s="19"/>
      <c r="D66" s="20"/>
      <c r="E66" s="20"/>
      <c r="F66" s="20"/>
      <c r="G66" s="21"/>
      <c r="H66" s="10" t="str">
        <f aca="false">IF(OR(D66="",G66=""),"",D66*G66)</f>
        <v/>
      </c>
      <c r="I66" s="18"/>
      <c r="J66" s="20"/>
      <c r="K66" s="22"/>
      <c r="L66" s="10" t="str">
        <f aca="false">IF(OR(J66="",H66=""),"",J66*G66-H66-N(K66))</f>
        <v/>
      </c>
      <c r="M66" s="14" t="str">
        <f aca="false">IF(L66="","",L66/H66)</f>
        <v/>
      </c>
      <c r="N66" s="23" t="str">
        <f aca="false">IF(OR(L66="",E66="",D66&lt;=E66),"",L66/((D66-E66)*G66))</f>
        <v/>
      </c>
      <c r="O66" s="15" t="str">
        <f aca="false">IF(OR(D66="",E66="",F66="",D66&lt;=E66),"",(F66-D66)/(D66-E66))</f>
        <v/>
      </c>
      <c r="P66" s="19"/>
      <c r="Q66" s="19"/>
      <c r="R66" s="19"/>
    </row>
    <row r="67" customFormat="false" ht="15" hidden="false" customHeight="false" outlineLevel="0" collapsed="false">
      <c r="A67" s="5" t="n">
        <v>63</v>
      </c>
      <c r="B67" s="18"/>
      <c r="C67" s="19"/>
      <c r="D67" s="20"/>
      <c r="E67" s="20"/>
      <c r="F67" s="20"/>
      <c r="G67" s="21"/>
      <c r="H67" s="10" t="str">
        <f aca="false">IF(OR(D67="",G67=""),"",D67*G67)</f>
        <v/>
      </c>
      <c r="I67" s="18"/>
      <c r="J67" s="20"/>
      <c r="K67" s="22"/>
      <c r="L67" s="10" t="str">
        <f aca="false">IF(OR(J67="",H67=""),"",J67*G67-H67-N(K67))</f>
        <v/>
      </c>
      <c r="M67" s="14" t="str">
        <f aca="false">IF(L67="","",L67/H67)</f>
        <v/>
      </c>
      <c r="N67" s="23" t="str">
        <f aca="false">IF(OR(L67="",E67="",D67&lt;=E67),"",L67/((D67-E67)*G67))</f>
        <v/>
      </c>
      <c r="O67" s="15" t="str">
        <f aca="false">IF(OR(D67="",E67="",F67="",D67&lt;=E67),"",(F67-D67)/(D67-E67))</f>
        <v/>
      </c>
      <c r="P67" s="19"/>
      <c r="Q67" s="19"/>
      <c r="R67" s="19"/>
    </row>
    <row r="68" customFormat="false" ht="15" hidden="false" customHeight="false" outlineLevel="0" collapsed="false">
      <c r="A68" s="5" t="n">
        <v>64</v>
      </c>
      <c r="B68" s="18"/>
      <c r="C68" s="19"/>
      <c r="D68" s="20"/>
      <c r="E68" s="20"/>
      <c r="F68" s="20"/>
      <c r="G68" s="21"/>
      <c r="H68" s="10" t="str">
        <f aca="false">IF(OR(D68="",G68=""),"",D68*G68)</f>
        <v/>
      </c>
      <c r="I68" s="18"/>
      <c r="J68" s="20"/>
      <c r="K68" s="22"/>
      <c r="L68" s="10" t="str">
        <f aca="false">IF(OR(J68="",H68=""),"",J68*G68-H68-N(K68))</f>
        <v/>
      </c>
      <c r="M68" s="14" t="str">
        <f aca="false">IF(L68="","",L68/H68)</f>
        <v/>
      </c>
      <c r="N68" s="23" t="str">
        <f aca="false">IF(OR(L68="",E68="",D68&lt;=E68),"",L68/((D68-E68)*G68))</f>
        <v/>
      </c>
      <c r="O68" s="15" t="str">
        <f aca="false">IF(OR(D68="",E68="",F68="",D68&lt;=E68),"",(F68-D68)/(D68-E68))</f>
        <v/>
      </c>
      <c r="P68" s="19"/>
      <c r="Q68" s="19"/>
      <c r="R68" s="19"/>
    </row>
    <row r="69" customFormat="false" ht="15" hidden="false" customHeight="false" outlineLevel="0" collapsed="false">
      <c r="A69" s="5" t="n">
        <v>65</v>
      </c>
      <c r="B69" s="18"/>
      <c r="C69" s="19"/>
      <c r="D69" s="20"/>
      <c r="E69" s="20"/>
      <c r="F69" s="20"/>
      <c r="G69" s="21"/>
      <c r="H69" s="10" t="str">
        <f aca="false">IF(OR(D69="",G69=""),"",D69*G69)</f>
        <v/>
      </c>
      <c r="I69" s="18"/>
      <c r="J69" s="20"/>
      <c r="K69" s="22"/>
      <c r="L69" s="10" t="str">
        <f aca="false">IF(OR(J69="",H69=""),"",J69*G69-H69-N(K69))</f>
        <v/>
      </c>
      <c r="M69" s="14" t="str">
        <f aca="false">IF(L69="","",L69/H69)</f>
        <v/>
      </c>
      <c r="N69" s="23" t="str">
        <f aca="false">IF(OR(L69="",E69="",D69&lt;=E69),"",L69/((D69-E69)*G69))</f>
        <v/>
      </c>
      <c r="O69" s="15" t="str">
        <f aca="false">IF(OR(D69="",E69="",F69="",D69&lt;=E69),"",(F69-D69)/(D69-E69))</f>
        <v/>
      </c>
      <c r="P69" s="19"/>
      <c r="Q69" s="19"/>
      <c r="R69" s="19"/>
    </row>
    <row r="70" customFormat="false" ht="15" hidden="false" customHeight="false" outlineLevel="0" collapsed="false">
      <c r="A70" s="5" t="n">
        <v>66</v>
      </c>
      <c r="B70" s="18"/>
      <c r="C70" s="19"/>
      <c r="D70" s="20"/>
      <c r="E70" s="20"/>
      <c r="F70" s="20"/>
      <c r="G70" s="21"/>
      <c r="H70" s="10" t="str">
        <f aca="false">IF(OR(D70="",G70=""),"",D70*G70)</f>
        <v/>
      </c>
      <c r="I70" s="18"/>
      <c r="J70" s="20"/>
      <c r="K70" s="22"/>
      <c r="L70" s="10" t="str">
        <f aca="false">IF(OR(J70="",H70=""),"",J70*G70-H70-N(K70))</f>
        <v/>
      </c>
      <c r="M70" s="14" t="str">
        <f aca="false">IF(L70="","",L70/H70)</f>
        <v/>
      </c>
      <c r="N70" s="23" t="str">
        <f aca="false">IF(OR(L70="",E70="",D70&lt;=E70),"",L70/((D70-E70)*G70))</f>
        <v/>
      </c>
      <c r="O70" s="15" t="str">
        <f aca="false">IF(OR(D70="",E70="",F70="",D70&lt;=E70),"",(F70-D70)/(D70-E70))</f>
        <v/>
      </c>
      <c r="P70" s="19"/>
      <c r="Q70" s="19"/>
      <c r="R70" s="19"/>
    </row>
    <row r="71" customFormat="false" ht="15" hidden="false" customHeight="false" outlineLevel="0" collapsed="false">
      <c r="A71" s="5" t="n">
        <v>67</v>
      </c>
      <c r="B71" s="18"/>
      <c r="C71" s="19"/>
      <c r="D71" s="20"/>
      <c r="E71" s="20"/>
      <c r="F71" s="20"/>
      <c r="G71" s="21"/>
      <c r="H71" s="10" t="str">
        <f aca="false">IF(OR(D71="",G71=""),"",D71*G71)</f>
        <v/>
      </c>
      <c r="I71" s="18"/>
      <c r="J71" s="20"/>
      <c r="K71" s="22"/>
      <c r="L71" s="10" t="str">
        <f aca="false">IF(OR(J71="",H71=""),"",J71*G71-H71-N(K71))</f>
        <v/>
      </c>
      <c r="M71" s="14" t="str">
        <f aca="false">IF(L71="","",L71/H71)</f>
        <v/>
      </c>
      <c r="N71" s="23" t="str">
        <f aca="false">IF(OR(L71="",E71="",D71&lt;=E71),"",L71/((D71-E71)*G71))</f>
        <v/>
      </c>
      <c r="O71" s="15" t="str">
        <f aca="false">IF(OR(D71="",E71="",F71="",D71&lt;=E71),"",(F71-D71)/(D71-E71))</f>
        <v/>
      </c>
      <c r="P71" s="19"/>
      <c r="Q71" s="19"/>
      <c r="R71" s="19"/>
    </row>
    <row r="72" customFormat="false" ht="15" hidden="false" customHeight="false" outlineLevel="0" collapsed="false">
      <c r="A72" s="5" t="n">
        <v>68</v>
      </c>
      <c r="B72" s="18"/>
      <c r="C72" s="19"/>
      <c r="D72" s="20"/>
      <c r="E72" s="20"/>
      <c r="F72" s="20"/>
      <c r="G72" s="21"/>
      <c r="H72" s="10" t="str">
        <f aca="false">IF(OR(D72="",G72=""),"",D72*G72)</f>
        <v/>
      </c>
      <c r="I72" s="18"/>
      <c r="J72" s="20"/>
      <c r="K72" s="22"/>
      <c r="L72" s="10" t="str">
        <f aca="false">IF(OR(J72="",H72=""),"",J72*G72-H72-N(K72))</f>
        <v/>
      </c>
      <c r="M72" s="14" t="str">
        <f aca="false">IF(L72="","",L72/H72)</f>
        <v/>
      </c>
      <c r="N72" s="23" t="str">
        <f aca="false">IF(OR(L72="",E72="",D72&lt;=E72),"",L72/((D72-E72)*G72))</f>
        <v/>
      </c>
      <c r="O72" s="15" t="str">
        <f aca="false">IF(OR(D72="",E72="",F72="",D72&lt;=E72),"",(F72-D72)/(D72-E72))</f>
        <v/>
      </c>
      <c r="P72" s="19"/>
      <c r="Q72" s="19"/>
      <c r="R72" s="19"/>
    </row>
    <row r="73" customFormat="false" ht="15" hidden="false" customHeight="false" outlineLevel="0" collapsed="false">
      <c r="A73" s="5" t="n">
        <v>69</v>
      </c>
      <c r="B73" s="18"/>
      <c r="C73" s="19"/>
      <c r="D73" s="20"/>
      <c r="E73" s="20"/>
      <c r="F73" s="20"/>
      <c r="G73" s="21"/>
      <c r="H73" s="10" t="str">
        <f aca="false">IF(OR(D73="",G73=""),"",D73*G73)</f>
        <v/>
      </c>
      <c r="I73" s="18"/>
      <c r="J73" s="20"/>
      <c r="K73" s="22"/>
      <c r="L73" s="10" t="str">
        <f aca="false">IF(OR(J73="",H73=""),"",J73*G73-H73-N(K73))</f>
        <v/>
      </c>
      <c r="M73" s="14" t="str">
        <f aca="false">IF(L73="","",L73/H73)</f>
        <v/>
      </c>
      <c r="N73" s="23" t="str">
        <f aca="false">IF(OR(L73="",E73="",D73&lt;=E73),"",L73/((D73-E73)*G73))</f>
        <v/>
      </c>
      <c r="O73" s="15" t="str">
        <f aca="false">IF(OR(D73="",E73="",F73="",D73&lt;=E73),"",(F73-D73)/(D73-E73))</f>
        <v/>
      </c>
      <c r="P73" s="19"/>
      <c r="Q73" s="19"/>
      <c r="R73" s="19"/>
    </row>
    <row r="74" customFormat="false" ht="15" hidden="false" customHeight="false" outlineLevel="0" collapsed="false">
      <c r="A74" s="5" t="n">
        <v>70</v>
      </c>
      <c r="B74" s="18"/>
      <c r="C74" s="19"/>
      <c r="D74" s="20"/>
      <c r="E74" s="20"/>
      <c r="F74" s="20"/>
      <c r="G74" s="21"/>
      <c r="H74" s="10" t="str">
        <f aca="false">IF(OR(D74="",G74=""),"",D74*G74)</f>
        <v/>
      </c>
      <c r="I74" s="18"/>
      <c r="J74" s="20"/>
      <c r="K74" s="22"/>
      <c r="L74" s="10" t="str">
        <f aca="false">IF(OR(J74="",H74=""),"",J74*G74-H74-N(K74))</f>
        <v/>
      </c>
      <c r="M74" s="14" t="str">
        <f aca="false">IF(L74="","",L74/H74)</f>
        <v/>
      </c>
      <c r="N74" s="23" t="str">
        <f aca="false">IF(OR(L74="",E74="",D74&lt;=E74),"",L74/((D74-E74)*G74))</f>
        <v/>
      </c>
      <c r="O74" s="15" t="str">
        <f aca="false">IF(OR(D74="",E74="",F74="",D74&lt;=E74),"",(F74-D74)/(D74-E74))</f>
        <v/>
      </c>
      <c r="P74" s="19"/>
      <c r="Q74" s="19"/>
      <c r="R74" s="19"/>
    </row>
    <row r="75" customFormat="false" ht="15" hidden="false" customHeight="false" outlineLevel="0" collapsed="false">
      <c r="A75" s="5" t="n">
        <v>71</v>
      </c>
      <c r="B75" s="18"/>
      <c r="C75" s="19"/>
      <c r="D75" s="20"/>
      <c r="E75" s="20"/>
      <c r="F75" s="20"/>
      <c r="G75" s="21"/>
      <c r="H75" s="10" t="str">
        <f aca="false">IF(OR(D75="",G75=""),"",D75*G75)</f>
        <v/>
      </c>
      <c r="I75" s="18"/>
      <c r="J75" s="20"/>
      <c r="K75" s="22"/>
      <c r="L75" s="10" t="str">
        <f aca="false">IF(OR(J75="",H75=""),"",J75*G75-H75-N(K75))</f>
        <v/>
      </c>
      <c r="M75" s="14" t="str">
        <f aca="false">IF(L75="","",L75/H75)</f>
        <v/>
      </c>
      <c r="N75" s="23" t="str">
        <f aca="false">IF(OR(L75="",E75="",D75&lt;=E75),"",L75/((D75-E75)*G75))</f>
        <v/>
      </c>
      <c r="O75" s="15" t="str">
        <f aca="false">IF(OR(D75="",E75="",F75="",D75&lt;=E75),"",(F75-D75)/(D75-E75))</f>
        <v/>
      </c>
      <c r="P75" s="19"/>
      <c r="Q75" s="19"/>
      <c r="R75" s="19"/>
    </row>
    <row r="76" customFormat="false" ht="15" hidden="false" customHeight="false" outlineLevel="0" collapsed="false">
      <c r="A76" s="5" t="n">
        <v>72</v>
      </c>
      <c r="B76" s="18"/>
      <c r="C76" s="19"/>
      <c r="D76" s="20"/>
      <c r="E76" s="20"/>
      <c r="F76" s="20"/>
      <c r="G76" s="21"/>
      <c r="H76" s="10" t="str">
        <f aca="false">IF(OR(D76="",G76=""),"",D76*G76)</f>
        <v/>
      </c>
      <c r="I76" s="18"/>
      <c r="J76" s="20"/>
      <c r="K76" s="22"/>
      <c r="L76" s="10" t="str">
        <f aca="false">IF(OR(J76="",H76=""),"",J76*G76-H76-N(K76))</f>
        <v/>
      </c>
      <c r="M76" s="14" t="str">
        <f aca="false">IF(L76="","",L76/H76)</f>
        <v/>
      </c>
      <c r="N76" s="23" t="str">
        <f aca="false">IF(OR(L76="",E76="",D76&lt;=E76),"",L76/((D76-E76)*G76))</f>
        <v/>
      </c>
      <c r="O76" s="15" t="str">
        <f aca="false">IF(OR(D76="",E76="",F76="",D76&lt;=E76),"",(F76-D76)/(D76-E76))</f>
        <v/>
      </c>
      <c r="P76" s="19"/>
      <c r="Q76" s="19"/>
      <c r="R76" s="19"/>
    </row>
    <row r="77" customFormat="false" ht="15" hidden="false" customHeight="false" outlineLevel="0" collapsed="false">
      <c r="A77" s="5" t="n">
        <v>73</v>
      </c>
      <c r="B77" s="18"/>
      <c r="C77" s="19"/>
      <c r="D77" s="20"/>
      <c r="E77" s="20"/>
      <c r="F77" s="20"/>
      <c r="G77" s="21"/>
      <c r="H77" s="10" t="str">
        <f aca="false">IF(OR(D77="",G77=""),"",D77*G77)</f>
        <v/>
      </c>
      <c r="I77" s="18"/>
      <c r="J77" s="20"/>
      <c r="K77" s="22"/>
      <c r="L77" s="10" t="str">
        <f aca="false">IF(OR(J77="",H77=""),"",J77*G77-H77-N(K77))</f>
        <v/>
      </c>
      <c r="M77" s="14" t="str">
        <f aca="false">IF(L77="","",L77/H77)</f>
        <v/>
      </c>
      <c r="N77" s="23" t="str">
        <f aca="false">IF(OR(L77="",E77="",D77&lt;=E77),"",L77/((D77-E77)*G77))</f>
        <v/>
      </c>
      <c r="O77" s="15" t="str">
        <f aca="false">IF(OR(D77="",E77="",F77="",D77&lt;=E77),"",(F77-D77)/(D77-E77))</f>
        <v/>
      </c>
      <c r="P77" s="19"/>
      <c r="Q77" s="19"/>
      <c r="R77" s="19"/>
    </row>
    <row r="78" customFormat="false" ht="15" hidden="false" customHeight="false" outlineLevel="0" collapsed="false">
      <c r="A78" s="5" t="n">
        <v>74</v>
      </c>
      <c r="B78" s="18"/>
      <c r="C78" s="19"/>
      <c r="D78" s="20"/>
      <c r="E78" s="20"/>
      <c r="F78" s="20"/>
      <c r="G78" s="21"/>
      <c r="H78" s="10" t="str">
        <f aca="false">IF(OR(D78="",G78=""),"",D78*G78)</f>
        <v/>
      </c>
      <c r="I78" s="18"/>
      <c r="J78" s="20"/>
      <c r="K78" s="22"/>
      <c r="L78" s="10" t="str">
        <f aca="false">IF(OR(J78="",H78=""),"",J78*G78-H78-N(K78))</f>
        <v/>
      </c>
      <c r="M78" s="14" t="str">
        <f aca="false">IF(L78="","",L78/H78)</f>
        <v/>
      </c>
      <c r="N78" s="23" t="str">
        <f aca="false">IF(OR(L78="",E78="",D78&lt;=E78),"",L78/((D78-E78)*G78))</f>
        <v/>
      </c>
      <c r="O78" s="15" t="str">
        <f aca="false">IF(OR(D78="",E78="",F78="",D78&lt;=E78),"",(F78-D78)/(D78-E78))</f>
        <v/>
      </c>
      <c r="P78" s="19"/>
      <c r="Q78" s="19"/>
      <c r="R78" s="19"/>
    </row>
    <row r="79" customFormat="false" ht="15" hidden="false" customHeight="false" outlineLevel="0" collapsed="false">
      <c r="A79" s="5" t="n">
        <v>75</v>
      </c>
      <c r="B79" s="18"/>
      <c r="C79" s="19"/>
      <c r="D79" s="20"/>
      <c r="E79" s="20"/>
      <c r="F79" s="20"/>
      <c r="G79" s="21"/>
      <c r="H79" s="10" t="str">
        <f aca="false">IF(OR(D79="",G79=""),"",D79*G79)</f>
        <v/>
      </c>
      <c r="I79" s="18"/>
      <c r="J79" s="20"/>
      <c r="K79" s="22"/>
      <c r="L79" s="10" t="str">
        <f aca="false">IF(OR(J79="",H79=""),"",J79*G79-H79-N(K79))</f>
        <v/>
      </c>
      <c r="M79" s="14" t="str">
        <f aca="false">IF(L79="","",L79/H79)</f>
        <v/>
      </c>
      <c r="N79" s="23" t="str">
        <f aca="false">IF(OR(L79="",E79="",D79&lt;=E79),"",L79/((D79-E79)*G79))</f>
        <v/>
      </c>
      <c r="O79" s="15" t="str">
        <f aca="false">IF(OR(D79="",E79="",F79="",D79&lt;=E79),"",(F79-D79)/(D79-E79))</f>
        <v/>
      </c>
      <c r="P79" s="19"/>
      <c r="Q79" s="19"/>
      <c r="R79" s="19"/>
    </row>
    <row r="80" customFormat="false" ht="15" hidden="false" customHeight="false" outlineLevel="0" collapsed="false">
      <c r="A80" s="5" t="n">
        <v>76</v>
      </c>
      <c r="B80" s="18"/>
      <c r="C80" s="19"/>
      <c r="D80" s="20"/>
      <c r="E80" s="20"/>
      <c r="F80" s="20"/>
      <c r="G80" s="21"/>
      <c r="H80" s="10" t="str">
        <f aca="false">IF(OR(D80="",G80=""),"",D80*G80)</f>
        <v/>
      </c>
      <c r="I80" s="18"/>
      <c r="J80" s="20"/>
      <c r="K80" s="22"/>
      <c r="L80" s="10" t="str">
        <f aca="false">IF(OR(J80="",H80=""),"",J80*G80-H80-N(K80))</f>
        <v/>
      </c>
      <c r="M80" s="14" t="str">
        <f aca="false">IF(L80="","",L80/H80)</f>
        <v/>
      </c>
      <c r="N80" s="23" t="str">
        <f aca="false">IF(OR(L80="",E80="",D80&lt;=E80),"",L80/((D80-E80)*G80))</f>
        <v/>
      </c>
      <c r="O80" s="15" t="str">
        <f aca="false">IF(OR(D80="",E80="",F80="",D80&lt;=E80),"",(F80-D80)/(D80-E80))</f>
        <v/>
      </c>
      <c r="P80" s="19"/>
      <c r="Q80" s="19"/>
      <c r="R80" s="19"/>
    </row>
    <row r="81" customFormat="false" ht="15" hidden="false" customHeight="false" outlineLevel="0" collapsed="false">
      <c r="A81" s="5" t="n">
        <v>77</v>
      </c>
      <c r="B81" s="18"/>
      <c r="C81" s="19"/>
      <c r="D81" s="20"/>
      <c r="E81" s="20"/>
      <c r="F81" s="20"/>
      <c r="G81" s="21"/>
      <c r="H81" s="10" t="str">
        <f aca="false">IF(OR(D81="",G81=""),"",D81*G81)</f>
        <v/>
      </c>
      <c r="I81" s="18"/>
      <c r="J81" s="20"/>
      <c r="K81" s="22"/>
      <c r="L81" s="10" t="str">
        <f aca="false">IF(OR(J81="",H81=""),"",J81*G81-H81-N(K81))</f>
        <v/>
      </c>
      <c r="M81" s="14" t="str">
        <f aca="false">IF(L81="","",L81/H81)</f>
        <v/>
      </c>
      <c r="N81" s="23" t="str">
        <f aca="false">IF(OR(L81="",E81="",D81&lt;=E81),"",L81/((D81-E81)*G81))</f>
        <v/>
      </c>
      <c r="O81" s="15" t="str">
        <f aca="false">IF(OR(D81="",E81="",F81="",D81&lt;=E81),"",(F81-D81)/(D81-E81))</f>
        <v/>
      </c>
      <c r="P81" s="19"/>
      <c r="Q81" s="19"/>
      <c r="R81" s="19"/>
    </row>
    <row r="82" customFormat="false" ht="15" hidden="false" customHeight="false" outlineLevel="0" collapsed="false">
      <c r="A82" s="5" t="n">
        <v>78</v>
      </c>
      <c r="B82" s="18"/>
      <c r="C82" s="19"/>
      <c r="D82" s="20"/>
      <c r="E82" s="20"/>
      <c r="F82" s="20"/>
      <c r="G82" s="21"/>
      <c r="H82" s="10" t="str">
        <f aca="false">IF(OR(D82="",G82=""),"",D82*G82)</f>
        <v/>
      </c>
      <c r="I82" s="18"/>
      <c r="J82" s="20"/>
      <c r="K82" s="22"/>
      <c r="L82" s="10" t="str">
        <f aca="false">IF(OR(J82="",H82=""),"",J82*G82-H82-N(K82))</f>
        <v/>
      </c>
      <c r="M82" s="14" t="str">
        <f aca="false">IF(L82="","",L82/H82)</f>
        <v/>
      </c>
      <c r="N82" s="23" t="str">
        <f aca="false">IF(OR(L82="",E82="",D82&lt;=E82),"",L82/((D82-E82)*G82))</f>
        <v/>
      </c>
      <c r="O82" s="15" t="str">
        <f aca="false">IF(OR(D82="",E82="",F82="",D82&lt;=E82),"",(F82-D82)/(D82-E82))</f>
        <v/>
      </c>
      <c r="P82" s="19"/>
      <c r="Q82" s="19"/>
      <c r="R82" s="19"/>
    </row>
    <row r="83" customFormat="false" ht="15" hidden="false" customHeight="false" outlineLevel="0" collapsed="false">
      <c r="A83" s="5" t="n">
        <v>79</v>
      </c>
      <c r="B83" s="18"/>
      <c r="C83" s="19"/>
      <c r="D83" s="20"/>
      <c r="E83" s="20"/>
      <c r="F83" s="20"/>
      <c r="G83" s="21"/>
      <c r="H83" s="10" t="str">
        <f aca="false">IF(OR(D83="",G83=""),"",D83*G83)</f>
        <v/>
      </c>
      <c r="I83" s="18"/>
      <c r="J83" s="20"/>
      <c r="K83" s="22"/>
      <c r="L83" s="10" t="str">
        <f aca="false">IF(OR(J83="",H83=""),"",J83*G83-H83-N(K83))</f>
        <v/>
      </c>
      <c r="M83" s="14" t="str">
        <f aca="false">IF(L83="","",L83/H83)</f>
        <v/>
      </c>
      <c r="N83" s="23" t="str">
        <f aca="false">IF(OR(L83="",E83="",D83&lt;=E83),"",L83/((D83-E83)*G83))</f>
        <v/>
      </c>
      <c r="O83" s="15" t="str">
        <f aca="false">IF(OR(D83="",E83="",F83="",D83&lt;=E83),"",(F83-D83)/(D83-E83))</f>
        <v/>
      </c>
      <c r="P83" s="19"/>
      <c r="Q83" s="19"/>
      <c r="R83" s="19"/>
    </row>
    <row r="84" customFormat="false" ht="15" hidden="false" customHeight="false" outlineLevel="0" collapsed="false">
      <c r="A84" s="5" t="n">
        <v>80</v>
      </c>
      <c r="B84" s="18"/>
      <c r="C84" s="19"/>
      <c r="D84" s="20"/>
      <c r="E84" s="20"/>
      <c r="F84" s="20"/>
      <c r="G84" s="21"/>
      <c r="H84" s="10" t="str">
        <f aca="false">IF(OR(D84="",G84=""),"",D84*G84)</f>
        <v/>
      </c>
      <c r="I84" s="18"/>
      <c r="J84" s="20"/>
      <c r="K84" s="22"/>
      <c r="L84" s="10" t="str">
        <f aca="false">IF(OR(J84="",H84=""),"",J84*G84-H84-N(K84))</f>
        <v/>
      </c>
      <c r="M84" s="14" t="str">
        <f aca="false">IF(L84="","",L84/H84)</f>
        <v/>
      </c>
      <c r="N84" s="23" t="str">
        <f aca="false">IF(OR(L84="",E84="",D84&lt;=E84),"",L84/((D84-E84)*G84))</f>
        <v/>
      </c>
      <c r="O84" s="15" t="str">
        <f aca="false">IF(OR(D84="",E84="",F84="",D84&lt;=E84),"",(F84-D84)/(D84-E84))</f>
        <v/>
      </c>
      <c r="P84" s="19"/>
      <c r="Q84" s="19"/>
      <c r="R84" s="19"/>
    </row>
    <row r="85" customFormat="false" ht="15" hidden="false" customHeight="false" outlineLevel="0" collapsed="false">
      <c r="A85" s="5" t="n">
        <v>81</v>
      </c>
      <c r="B85" s="18"/>
      <c r="C85" s="19"/>
      <c r="D85" s="20"/>
      <c r="E85" s="20"/>
      <c r="F85" s="20"/>
      <c r="G85" s="21"/>
      <c r="H85" s="10" t="str">
        <f aca="false">IF(OR(D85="",G85=""),"",D85*G85)</f>
        <v/>
      </c>
      <c r="I85" s="18"/>
      <c r="J85" s="20"/>
      <c r="K85" s="22"/>
      <c r="L85" s="10" t="str">
        <f aca="false">IF(OR(J85="",H85=""),"",J85*G85-H85-N(K85))</f>
        <v/>
      </c>
      <c r="M85" s="14" t="str">
        <f aca="false">IF(L85="","",L85/H85)</f>
        <v/>
      </c>
      <c r="N85" s="23" t="str">
        <f aca="false">IF(OR(L85="",E85="",D85&lt;=E85),"",L85/((D85-E85)*G85))</f>
        <v/>
      </c>
      <c r="O85" s="15" t="str">
        <f aca="false">IF(OR(D85="",E85="",F85="",D85&lt;=E85),"",(F85-D85)/(D85-E85))</f>
        <v/>
      </c>
      <c r="P85" s="19"/>
      <c r="Q85" s="19"/>
      <c r="R85" s="19"/>
    </row>
    <row r="86" customFormat="false" ht="15" hidden="false" customHeight="false" outlineLevel="0" collapsed="false">
      <c r="A86" s="5" t="n">
        <v>82</v>
      </c>
      <c r="B86" s="18"/>
      <c r="C86" s="19"/>
      <c r="D86" s="20"/>
      <c r="E86" s="20"/>
      <c r="F86" s="20"/>
      <c r="G86" s="21"/>
      <c r="H86" s="10" t="str">
        <f aca="false">IF(OR(D86="",G86=""),"",D86*G86)</f>
        <v/>
      </c>
      <c r="I86" s="18"/>
      <c r="J86" s="20"/>
      <c r="K86" s="22"/>
      <c r="L86" s="10" t="str">
        <f aca="false">IF(OR(J86="",H86=""),"",J86*G86-H86-N(K86))</f>
        <v/>
      </c>
      <c r="M86" s="14" t="str">
        <f aca="false">IF(L86="","",L86/H86)</f>
        <v/>
      </c>
      <c r="N86" s="23" t="str">
        <f aca="false">IF(OR(L86="",E86="",D86&lt;=E86),"",L86/((D86-E86)*G86))</f>
        <v/>
      </c>
      <c r="O86" s="15" t="str">
        <f aca="false">IF(OR(D86="",E86="",F86="",D86&lt;=E86),"",(F86-D86)/(D86-E86))</f>
        <v/>
      </c>
      <c r="P86" s="19"/>
      <c r="Q86" s="19"/>
      <c r="R86" s="19"/>
    </row>
    <row r="87" customFormat="false" ht="15" hidden="false" customHeight="false" outlineLevel="0" collapsed="false">
      <c r="A87" s="5" t="n">
        <v>83</v>
      </c>
      <c r="B87" s="18"/>
      <c r="C87" s="19"/>
      <c r="D87" s="20"/>
      <c r="E87" s="20"/>
      <c r="F87" s="20"/>
      <c r="G87" s="21"/>
      <c r="H87" s="10" t="str">
        <f aca="false">IF(OR(D87="",G87=""),"",D87*G87)</f>
        <v/>
      </c>
      <c r="I87" s="18"/>
      <c r="J87" s="20"/>
      <c r="K87" s="22"/>
      <c r="L87" s="10" t="str">
        <f aca="false">IF(OR(J87="",H87=""),"",J87*G87-H87-N(K87))</f>
        <v/>
      </c>
      <c r="M87" s="14" t="str">
        <f aca="false">IF(L87="","",L87/H87)</f>
        <v/>
      </c>
      <c r="N87" s="23" t="str">
        <f aca="false">IF(OR(L87="",E87="",D87&lt;=E87),"",L87/((D87-E87)*G87))</f>
        <v/>
      </c>
      <c r="O87" s="15" t="str">
        <f aca="false">IF(OR(D87="",E87="",F87="",D87&lt;=E87),"",(F87-D87)/(D87-E87))</f>
        <v/>
      </c>
      <c r="P87" s="19"/>
      <c r="Q87" s="19"/>
      <c r="R87" s="19"/>
    </row>
    <row r="88" customFormat="false" ht="15" hidden="false" customHeight="false" outlineLevel="0" collapsed="false">
      <c r="A88" s="5" t="n">
        <v>84</v>
      </c>
      <c r="B88" s="18"/>
      <c r="C88" s="19"/>
      <c r="D88" s="20"/>
      <c r="E88" s="20"/>
      <c r="F88" s="20"/>
      <c r="G88" s="21"/>
      <c r="H88" s="10" t="str">
        <f aca="false">IF(OR(D88="",G88=""),"",D88*G88)</f>
        <v/>
      </c>
      <c r="I88" s="18"/>
      <c r="J88" s="20"/>
      <c r="K88" s="22"/>
      <c r="L88" s="10" t="str">
        <f aca="false">IF(OR(J88="",H88=""),"",J88*G88-H88-N(K88))</f>
        <v/>
      </c>
      <c r="M88" s="14" t="str">
        <f aca="false">IF(L88="","",L88/H88)</f>
        <v/>
      </c>
      <c r="N88" s="23" t="str">
        <f aca="false">IF(OR(L88="",E88="",D88&lt;=E88),"",L88/((D88-E88)*G88))</f>
        <v/>
      </c>
      <c r="O88" s="15" t="str">
        <f aca="false">IF(OR(D88="",E88="",F88="",D88&lt;=E88),"",(F88-D88)/(D88-E88))</f>
        <v/>
      </c>
      <c r="P88" s="19"/>
      <c r="Q88" s="19"/>
      <c r="R88" s="19"/>
    </row>
    <row r="89" customFormat="false" ht="15" hidden="false" customHeight="false" outlineLevel="0" collapsed="false">
      <c r="A89" s="5" t="n">
        <v>85</v>
      </c>
      <c r="B89" s="18"/>
      <c r="C89" s="19"/>
      <c r="D89" s="20"/>
      <c r="E89" s="20"/>
      <c r="F89" s="20"/>
      <c r="G89" s="21"/>
      <c r="H89" s="10" t="str">
        <f aca="false">IF(OR(D89="",G89=""),"",D89*G89)</f>
        <v/>
      </c>
      <c r="I89" s="18"/>
      <c r="J89" s="20"/>
      <c r="K89" s="22"/>
      <c r="L89" s="10" t="str">
        <f aca="false">IF(OR(J89="",H89=""),"",J89*G89-H89-N(K89))</f>
        <v/>
      </c>
      <c r="M89" s="14" t="str">
        <f aca="false">IF(L89="","",L89/H89)</f>
        <v/>
      </c>
      <c r="N89" s="23" t="str">
        <f aca="false">IF(OR(L89="",E89="",D89&lt;=E89),"",L89/((D89-E89)*G89))</f>
        <v/>
      </c>
      <c r="O89" s="15" t="str">
        <f aca="false">IF(OR(D89="",E89="",F89="",D89&lt;=E89),"",(F89-D89)/(D89-E89))</f>
        <v/>
      </c>
      <c r="P89" s="19"/>
      <c r="Q89" s="19"/>
      <c r="R89" s="19"/>
    </row>
    <row r="90" customFormat="false" ht="15" hidden="false" customHeight="false" outlineLevel="0" collapsed="false">
      <c r="A90" s="5" t="n">
        <v>86</v>
      </c>
      <c r="B90" s="18"/>
      <c r="C90" s="19"/>
      <c r="D90" s="20"/>
      <c r="E90" s="20"/>
      <c r="F90" s="20"/>
      <c r="G90" s="21"/>
      <c r="H90" s="10" t="str">
        <f aca="false">IF(OR(D90="",G90=""),"",D90*G90)</f>
        <v/>
      </c>
      <c r="I90" s="18"/>
      <c r="J90" s="20"/>
      <c r="K90" s="22"/>
      <c r="L90" s="10" t="str">
        <f aca="false">IF(OR(J90="",H90=""),"",J90*G90-H90-N(K90))</f>
        <v/>
      </c>
      <c r="M90" s="14" t="str">
        <f aca="false">IF(L90="","",L90/H90)</f>
        <v/>
      </c>
      <c r="N90" s="23" t="str">
        <f aca="false">IF(OR(L90="",E90="",D90&lt;=E90),"",L90/((D90-E90)*G90))</f>
        <v/>
      </c>
      <c r="O90" s="15" t="str">
        <f aca="false">IF(OR(D90="",E90="",F90="",D90&lt;=E90),"",(F90-D90)/(D90-E90))</f>
        <v/>
      </c>
      <c r="P90" s="19"/>
      <c r="Q90" s="19"/>
      <c r="R90" s="19"/>
    </row>
    <row r="91" customFormat="false" ht="15" hidden="false" customHeight="false" outlineLevel="0" collapsed="false">
      <c r="A91" s="5" t="n">
        <v>87</v>
      </c>
      <c r="B91" s="18"/>
      <c r="C91" s="19"/>
      <c r="D91" s="20"/>
      <c r="E91" s="20"/>
      <c r="F91" s="20"/>
      <c r="G91" s="21"/>
      <c r="H91" s="10" t="str">
        <f aca="false">IF(OR(D91="",G91=""),"",D91*G91)</f>
        <v/>
      </c>
      <c r="I91" s="18"/>
      <c r="J91" s="20"/>
      <c r="K91" s="22"/>
      <c r="L91" s="10" t="str">
        <f aca="false">IF(OR(J91="",H91=""),"",J91*G91-H91-N(K91))</f>
        <v/>
      </c>
      <c r="M91" s="14" t="str">
        <f aca="false">IF(L91="","",L91/H91)</f>
        <v/>
      </c>
      <c r="N91" s="23" t="str">
        <f aca="false">IF(OR(L91="",E91="",D91&lt;=E91),"",L91/((D91-E91)*G91))</f>
        <v/>
      </c>
      <c r="O91" s="15" t="str">
        <f aca="false">IF(OR(D91="",E91="",F91="",D91&lt;=E91),"",(F91-D91)/(D91-E91))</f>
        <v/>
      </c>
      <c r="P91" s="19"/>
      <c r="Q91" s="19"/>
      <c r="R91" s="19"/>
    </row>
    <row r="92" customFormat="false" ht="15" hidden="false" customHeight="false" outlineLevel="0" collapsed="false">
      <c r="A92" s="5" t="n">
        <v>88</v>
      </c>
      <c r="B92" s="18"/>
      <c r="C92" s="19"/>
      <c r="D92" s="20"/>
      <c r="E92" s="20"/>
      <c r="F92" s="20"/>
      <c r="G92" s="21"/>
      <c r="H92" s="10" t="str">
        <f aca="false">IF(OR(D92="",G92=""),"",D92*G92)</f>
        <v/>
      </c>
      <c r="I92" s="18"/>
      <c r="J92" s="20"/>
      <c r="K92" s="22"/>
      <c r="L92" s="10" t="str">
        <f aca="false">IF(OR(J92="",H92=""),"",J92*G92-H92-N(K92))</f>
        <v/>
      </c>
      <c r="M92" s="14" t="str">
        <f aca="false">IF(L92="","",L92/H92)</f>
        <v/>
      </c>
      <c r="N92" s="23" t="str">
        <f aca="false">IF(OR(L92="",E92="",D92&lt;=E92),"",L92/((D92-E92)*G92))</f>
        <v/>
      </c>
      <c r="O92" s="15" t="str">
        <f aca="false">IF(OR(D92="",E92="",F92="",D92&lt;=E92),"",(F92-D92)/(D92-E92))</f>
        <v/>
      </c>
      <c r="P92" s="19"/>
      <c r="Q92" s="19"/>
      <c r="R92" s="19"/>
    </row>
    <row r="93" customFormat="false" ht="15" hidden="false" customHeight="false" outlineLevel="0" collapsed="false">
      <c r="A93" s="5" t="n">
        <v>89</v>
      </c>
      <c r="B93" s="18"/>
      <c r="C93" s="19"/>
      <c r="D93" s="20"/>
      <c r="E93" s="20"/>
      <c r="F93" s="20"/>
      <c r="G93" s="21"/>
      <c r="H93" s="10" t="str">
        <f aca="false">IF(OR(D93="",G93=""),"",D93*G93)</f>
        <v/>
      </c>
      <c r="I93" s="18"/>
      <c r="J93" s="20"/>
      <c r="K93" s="22"/>
      <c r="L93" s="10" t="str">
        <f aca="false">IF(OR(J93="",H93=""),"",J93*G93-H93-N(K93))</f>
        <v/>
      </c>
      <c r="M93" s="14" t="str">
        <f aca="false">IF(L93="","",L93/H93)</f>
        <v/>
      </c>
      <c r="N93" s="23" t="str">
        <f aca="false">IF(OR(L93="",E93="",D93&lt;=E93),"",L93/((D93-E93)*G93))</f>
        <v/>
      </c>
      <c r="O93" s="15" t="str">
        <f aca="false">IF(OR(D93="",E93="",F93="",D93&lt;=E93),"",(F93-D93)/(D93-E93))</f>
        <v/>
      </c>
      <c r="P93" s="19"/>
      <c r="Q93" s="19"/>
      <c r="R93" s="19"/>
    </row>
    <row r="94" customFormat="false" ht="15" hidden="false" customHeight="false" outlineLevel="0" collapsed="false">
      <c r="A94" s="5" t="n">
        <v>90</v>
      </c>
      <c r="B94" s="18"/>
      <c r="C94" s="19"/>
      <c r="D94" s="20"/>
      <c r="E94" s="20"/>
      <c r="F94" s="20"/>
      <c r="G94" s="21"/>
      <c r="H94" s="10" t="str">
        <f aca="false">IF(OR(D94="",G94=""),"",D94*G94)</f>
        <v/>
      </c>
      <c r="I94" s="18"/>
      <c r="J94" s="20"/>
      <c r="K94" s="22"/>
      <c r="L94" s="10" t="str">
        <f aca="false">IF(OR(J94="",H94=""),"",J94*G94-H94-N(K94))</f>
        <v/>
      </c>
      <c r="M94" s="14" t="str">
        <f aca="false">IF(L94="","",L94/H94)</f>
        <v/>
      </c>
      <c r="N94" s="23" t="str">
        <f aca="false">IF(OR(L94="",E94="",D94&lt;=E94),"",L94/((D94-E94)*G94))</f>
        <v/>
      </c>
      <c r="O94" s="15" t="str">
        <f aca="false">IF(OR(D94="",E94="",F94="",D94&lt;=E94),"",(F94-D94)/(D94-E94))</f>
        <v/>
      </c>
      <c r="P94" s="19"/>
      <c r="Q94" s="19"/>
      <c r="R94" s="19"/>
    </row>
    <row r="95" customFormat="false" ht="15" hidden="false" customHeight="false" outlineLevel="0" collapsed="false">
      <c r="A95" s="5" t="n">
        <v>91</v>
      </c>
      <c r="B95" s="18"/>
      <c r="C95" s="19"/>
      <c r="D95" s="20"/>
      <c r="E95" s="20"/>
      <c r="F95" s="20"/>
      <c r="G95" s="21"/>
      <c r="H95" s="10" t="str">
        <f aca="false">IF(OR(D95="",G95=""),"",D95*G95)</f>
        <v/>
      </c>
      <c r="I95" s="18"/>
      <c r="J95" s="20"/>
      <c r="K95" s="22"/>
      <c r="L95" s="10" t="str">
        <f aca="false">IF(OR(J95="",H95=""),"",J95*G95-H95-N(K95))</f>
        <v/>
      </c>
      <c r="M95" s="14" t="str">
        <f aca="false">IF(L95="","",L95/H95)</f>
        <v/>
      </c>
      <c r="N95" s="23" t="str">
        <f aca="false">IF(OR(L95="",E95="",D95&lt;=E95),"",L95/((D95-E95)*G95))</f>
        <v/>
      </c>
      <c r="O95" s="15" t="str">
        <f aca="false">IF(OR(D95="",E95="",F95="",D95&lt;=E95),"",(F95-D95)/(D95-E95))</f>
        <v/>
      </c>
      <c r="P95" s="19"/>
      <c r="Q95" s="19"/>
      <c r="R95" s="19"/>
    </row>
    <row r="96" customFormat="false" ht="15" hidden="false" customHeight="false" outlineLevel="0" collapsed="false">
      <c r="A96" s="5" t="n">
        <v>92</v>
      </c>
      <c r="B96" s="18"/>
      <c r="C96" s="19"/>
      <c r="D96" s="20"/>
      <c r="E96" s="20"/>
      <c r="F96" s="20"/>
      <c r="G96" s="21"/>
      <c r="H96" s="10" t="str">
        <f aca="false">IF(OR(D96="",G96=""),"",D96*G96)</f>
        <v/>
      </c>
      <c r="I96" s="18"/>
      <c r="J96" s="20"/>
      <c r="K96" s="22"/>
      <c r="L96" s="10" t="str">
        <f aca="false">IF(OR(J96="",H96=""),"",J96*G96-H96-N(K96))</f>
        <v/>
      </c>
      <c r="M96" s="14" t="str">
        <f aca="false">IF(L96="","",L96/H96)</f>
        <v/>
      </c>
      <c r="N96" s="23" t="str">
        <f aca="false">IF(OR(L96="",E96="",D96&lt;=E96),"",L96/((D96-E96)*G96))</f>
        <v/>
      </c>
      <c r="O96" s="15" t="str">
        <f aca="false">IF(OR(D96="",E96="",F96="",D96&lt;=E96),"",(F96-D96)/(D96-E96))</f>
        <v/>
      </c>
      <c r="P96" s="19"/>
      <c r="Q96" s="19"/>
      <c r="R96" s="19"/>
    </row>
    <row r="97" customFormat="false" ht="15" hidden="false" customHeight="false" outlineLevel="0" collapsed="false">
      <c r="A97" s="5" t="n">
        <v>93</v>
      </c>
      <c r="B97" s="18"/>
      <c r="C97" s="19"/>
      <c r="D97" s="20"/>
      <c r="E97" s="20"/>
      <c r="F97" s="20"/>
      <c r="G97" s="21"/>
      <c r="H97" s="10" t="str">
        <f aca="false">IF(OR(D97="",G97=""),"",D97*G97)</f>
        <v/>
      </c>
      <c r="I97" s="18"/>
      <c r="J97" s="20"/>
      <c r="K97" s="22"/>
      <c r="L97" s="10" t="str">
        <f aca="false">IF(OR(J97="",H97=""),"",J97*G97-H97-N(K97))</f>
        <v/>
      </c>
      <c r="M97" s="14" t="str">
        <f aca="false">IF(L97="","",L97/H97)</f>
        <v/>
      </c>
      <c r="N97" s="23" t="str">
        <f aca="false">IF(OR(L97="",E97="",D97&lt;=E97),"",L97/((D97-E97)*G97))</f>
        <v/>
      </c>
      <c r="O97" s="15" t="str">
        <f aca="false">IF(OR(D97="",E97="",F97="",D97&lt;=E97),"",(F97-D97)/(D97-E97))</f>
        <v/>
      </c>
      <c r="P97" s="19"/>
      <c r="Q97" s="19"/>
      <c r="R97" s="19"/>
    </row>
    <row r="98" customFormat="false" ht="15" hidden="false" customHeight="false" outlineLevel="0" collapsed="false">
      <c r="A98" s="5" t="n">
        <v>94</v>
      </c>
      <c r="B98" s="18"/>
      <c r="C98" s="19"/>
      <c r="D98" s="20"/>
      <c r="E98" s="20"/>
      <c r="F98" s="20"/>
      <c r="G98" s="21"/>
      <c r="H98" s="10" t="str">
        <f aca="false">IF(OR(D98="",G98=""),"",D98*G98)</f>
        <v/>
      </c>
      <c r="I98" s="18"/>
      <c r="J98" s="20"/>
      <c r="K98" s="22"/>
      <c r="L98" s="10" t="str">
        <f aca="false">IF(OR(J98="",H98=""),"",J98*G98-H98-N(K98))</f>
        <v/>
      </c>
      <c r="M98" s="14" t="str">
        <f aca="false">IF(L98="","",L98/H98)</f>
        <v/>
      </c>
      <c r="N98" s="23" t="str">
        <f aca="false">IF(OR(L98="",E98="",D98&lt;=E98),"",L98/((D98-E98)*G98))</f>
        <v/>
      </c>
      <c r="O98" s="15" t="str">
        <f aca="false">IF(OR(D98="",E98="",F98="",D98&lt;=E98),"",(F98-D98)/(D98-E98))</f>
        <v/>
      </c>
      <c r="P98" s="19"/>
      <c r="Q98" s="19"/>
      <c r="R98" s="19"/>
    </row>
    <row r="99" customFormat="false" ht="15" hidden="false" customHeight="false" outlineLevel="0" collapsed="false">
      <c r="A99" s="5" t="n">
        <v>95</v>
      </c>
      <c r="B99" s="18"/>
      <c r="C99" s="19"/>
      <c r="D99" s="20"/>
      <c r="E99" s="20"/>
      <c r="F99" s="20"/>
      <c r="G99" s="21"/>
      <c r="H99" s="10" t="str">
        <f aca="false">IF(OR(D99="",G99=""),"",D99*G99)</f>
        <v/>
      </c>
      <c r="I99" s="18"/>
      <c r="J99" s="20"/>
      <c r="K99" s="22"/>
      <c r="L99" s="10" t="str">
        <f aca="false">IF(OR(J99="",H99=""),"",J99*G99-H99-N(K99))</f>
        <v/>
      </c>
      <c r="M99" s="14" t="str">
        <f aca="false">IF(L99="","",L99/H99)</f>
        <v/>
      </c>
      <c r="N99" s="23" t="str">
        <f aca="false">IF(OR(L99="",E99="",D99&lt;=E99),"",L99/((D99-E99)*G99))</f>
        <v/>
      </c>
      <c r="O99" s="15" t="str">
        <f aca="false">IF(OR(D99="",E99="",F99="",D99&lt;=E99),"",(F99-D99)/(D99-E99))</f>
        <v/>
      </c>
      <c r="P99" s="19"/>
      <c r="Q99" s="19"/>
      <c r="R99" s="19"/>
    </row>
    <row r="100" customFormat="false" ht="15" hidden="false" customHeight="false" outlineLevel="0" collapsed="false">
      <c r="A100" s="5" t="n">
        <v>96</v>
      </c>
      <c r="B100" s="18"/>
      <c r="C100" s="19"/>
      <c r="D100" s="20"/>
      <c r="E100" s="20"/>
      <c r="F100" s="20"/>
      <c r="G100" s="21"/>
      <c r="H100" s="10" t="str">
        <f aca="false">IF(OR(D100="",G100=""),"",D100*G100)</f>
        <v/>
      </c>
      <c r="I100" s="18"/>
      <c r="J100" s="20"/>
      <c r="K100" s="22"/>
      <c r="L100" s="10" t="str">
        <f aca="false">IF(OR(J100="",H100=""),"",J100*G100-H100-N(K100))</f>
        <v/>
      </c>
      <c r="M100" s="14" t="str">
        <f aca="false">IF(L100="","",L100/H100)</f>
        <v/>
      </c>
      <c r="N100" s="23" t="str">
        <f aca="false">IF(OR(L100="",E100="",D100&lt;=E100),"",L100/((D100-E100)*G100))</f>
        <v/>
      </c>
      <c r="O100" s="15" t="str">
        <f aca="false">IF(OR(D100="",E100="",F100="",D100&lt;=E100),"",(F100-D100)/(D100-E100))</f>
        <v/>
      </c>
      <c r="P100" s="19"/>
      <c r="Q100" s="19"/>
      <c r="R100" s="19"/>
    </row>
    <row r="101" customFormat="false" ht="15" hidden="false" customHeight="false" outlineLevel="0" collapsed="false">
      <c r="A101" s="5" t="n">
        <v>97</v>
      </c>
      <c r="B101" s="18"/>
      <c r="C101" s="19"/>
      <c r="D101" s="20"/>
      <c r="E101" s="20"/>
      <c r="F101" s="20"/>
      <c r="G101" s="21"/>
      <c r="H101" s="10" t="str">
        <f aca="false">IF(OR(D101="",G101=""),"",D101*G101)</f>
        <v/>
      </c>
      <c r="I101" s="18"/>
      <c r="J101" s="20"/>
      <c r="K101" s="22"/>
      <c r="L101" s="10" t="str">
        <f aca="false">IF(OR(J101="",H101=""),"",J101*G101-H101-N(K101))</f>
        <v/>
      </c>
      <c r="M101" s="14" t="str">
        <f aca="false">IF(L101="","",L101/H101)</f>
        <v/>
      </c>
      <c r="N101" s="23" t="str">
        <f aca="false">IF(OR(L101="",E101="",D101&lt;=E101),"",L101/((D101-E101)*G101))</f>
        <v/>
      </c>
      <c r="O101" s="15" t="str">
        <f aca="false">IF(OR(D101="",E101="",F101="",D101&lt;=E101),"",(F101-D101)/(D101-E101))</f>
        <v/>
      </c>
      <c r="P101" s="19"/>
      <c r="Q101" s="19"/>
      <c r="R101" s="19"/>
    </row>
    <row r="102" customFormat="false" ht="15" hidden="false" customHeight="false" outlineLevel="0" collapsed="false">
      <c r="A102" s="5" t="n">
        <v>98</v>
      </c>
      <c r="B102" s="18"/>
      <c r="C102" s="19"/>
      <c r="D102" s="20"/>
      <c r="E102" s="20"/>
      <c r="F102" s="20"/>
      <c r="G102" s="21"/>
      <c r="H102" s="10" t="str">
        <f aca="false">IF(OR(D102="",G102=""),"",D102*G102)</f>
        <v/>
      </c>
      <c r="I102" s="18"/>
      <c r="J102" s="20"/>
      <c r="K102" s="22"/>
      <c r="L102" s="10" t="str">
        <f aca="false">IF(OR(J102="",H102=""),"",J102*G102-H102-N(K102))</f>
        <v/>
      </c>
      <c r="M102" s="14" t="str">
        <f aca="false">IF(L102="","",L102/H102)</f>
        <v/>
      </c>
      <c r="N102" s="23" t="str">
        <f aca="false">IF(OR(L102="",E102="",D102&lt;=E102),"",L102/((D102-E102)*G102))</f>
        <v/>
      </c>
      <c r="O102" s="15" t="str">
        <f aca="false">IF(OR(D102="",E102="",F102="",D102&lt;=E102),"",(F102-D102)/(D102-E102))</f>
        <v/>
      </c>
      <c r="P102" s="19"/>
      <c r="Q102" s="19"/>
      <c r="R102" s="19"/>
    </row>
    <row r="103" customFormat="false" ht="15" hidden="false" customHeight="false" outlineLevel="0" collapsed="false">
      <c r="A103" s="5" t="n">
        <v>99</v>
      </c>
      <c r="B103" s="18"/>
      <c r="C103" s="19"/>
      <c r="D103" s="20"/>
      <c r="E103" s="20"/>
      <c r="F103" s="20"/>
      <c r="G103" s="21"/>
      <c r="H103" s="10" t="str">
        <f aca="false">IF(OR(D103="",G103=""),"",D103*G103)</f>
        <v/>
      </c>
      <c r="I103" s="18"/>
      <c r="J103" s="20"/>
      <c r="K103" s="22"/>
      <c r="L103" s="10" t="str">
        <f aca="false">IF(OR(J103="",H103=""),"",J103*G103-H103-N(K103))</f>
        <v/>
      </c>
      <c r="M103" s="14" t="str">
        <f aca="false">IF(L103="","",L103/H103)</f>
        <v/>
      </c>
      <c r="N103" s="23" t="str">
        <f aca="false">IF(OR(L103="",E103="",D103&lt;=E103),"",L103/((D103-E103)*G103))</f>
        <v/>
      </c>
      <c r="O103" s="15" t="str">
        <f aca="false">IF(OR(D103="",E103="",F103="",D103&lt;=E103),"",(F103-D103)/(D103-E103))</f>
        <v/>
      </c>
      <c r="P103" s="19"/>
      <c r="Q103" s="19"/>
      <c r="R103" s="19"/>
    </row>
    <row r="104" customFormat="false" ht="15" hidden="false" customHeight="false" outlineLevel="0" collapsed="false">
      <c r="A104" s="5" t="n">
        <v>100</v>
      </c>
      <c r="B104" s="18"/>
      <c r="C104" s="19"/>
      <c r="D104" s="20"/>
      <c r="E104" s="20"/>
      <c r="F104" s="20"/>
      <c r="G104" s="21"/>
      <c r="H104" s="10" t="str">
        <f aca="false">IF(OR(D104="",G104=""),"",D104*G104)</f>
        <v/>
      </c>
      <c r="I104" s="18"/>
      <c r="J104" s="20"/>
      <c r="K104" s="22"/>
      <c r="L104" s="10" t="str">
        <f aca="false">IF(OR(J104="",H104=""),"",J104*G104-H104-N(K104))</f>
        <v/>
      </c>
      <c r="M104" s="14" t="str">
        <f aca="false">IF(L104="","",L104/H104)</f>
        <v/>
      </c>
      <c r="N104" s="23" t="str">
        <f aca="false">IF(OR(L104="",E104="",D104&lt;=E104),"",L104/((D104-E104)*G104))</f>
        <v/>
      </c>
      <c r="O104" s="15" t="str">
        <f aca="false">IF(OR(D104="",E104="",F104="",D104&lt;=E104),"",(F104-D104)/(D104-E104))</f>
        <v/>
      </c>
      <c r="P104" s="19"/>
      <c r="Q104" s="19"/>
      <c r="R104" s="19"/>
    </row>
    <row r="105" customFormat="false" ht="15" hidden="false" customHeight="false" outlineLevel="0" collapsed="false">
      <c r="A105" s="5" t="n">
        <v>101</v>
      </c>
      <c r="B105" s="18"/>
      <c r="C105" s="19"/>
      <c r="D105" s="20"/>
      <c r="E105" s="20"/>
      <c r="F105" s="20"/>
      <c r="G105" s="21"/>
      <c r="H105" s="10" t="str">
        <f aca="false">IF(OR(D105="",G105=""),"",D105*G105)</f>
        <v/>
      </c>
      <c r="I105" s="18"/>
      <c r="J105" s="20"/>
      <c r="K105" s="22"/>
      <c r="L105" s="10" t="str">
        <f aca="false">IF(OR(J105="",H105=""),"",J105*G105-H105-N(K105))</f>
        <v/>
      </c>
      <c r="M105" s="14" t="str">
        <f aca="false">IF(L105="","",L105/H105)</f>
        <v/>
      </c>
      <c r="N105" s="23" t="str">
        <f aca="false">IF(OR(L105="",E105="",D105&lt;=E105),"",L105/((D105-E105)*G105))</f>
        <v/>
      </c>
      <c r="O105" s="15" t="str">
        <f aca="false">IF(OR(D105="",E105="",F105="",D105&lt;=E105),"",(F105-D105)/(D105-E105))</f>
        <v/>
      </c>
      <c r="P105" s="19"/>
      <c r="Q105" s="19"/>
      <c r="R105" s="19"/>
    </row>
    <row r="106" customFormat="false" ht="15" hidden="false" customHeight="false" outlineLevel="0" collapsed="false">
      <c r="A106" s="5" t="n">
        <v>102</v>
      </c>
      <c r="B106" s="18"/>
      <c r="C106" s="19"/>
      <c r="D106" s="20"/>
      <c r="E106" s="20"/>
      <c r="F106" s="20"/>
      <c r="G106" s="21"/>
      <c r="H106" s="10" t="str">
        <f aca="false">IF(OR(D106="",G106=""),"",D106*G106)</f>
        <v/>
      </c>
      <c r="I106" s="18"/>
      <c r="J106" s="20"/>
      <c r="K106" s="22"/>
      <c r="L106" s="10" t="str">
        <f aca="false">IF(OR(J106="",H106=""),"",J106*G106-H106-N(K106))</f>
        <v/>
      </c>
      <c r="M106" s="14" t="str">
        <f aca="false">IF(L106="","",L106/H106)</f>
        <v/>
      </c>
      <c r="N106" s="23" t="str">
        <f aca="false">IF(OR(L106="",E106="",D106&lt;=E106),"",L106/((D106-E106)*G106))</f>
        <v/>
      </c>
      <c r="O106" s="15" t="str">
        <f aca="false">IF(OR(D106="",E106="",F106="",D106&lt;=E106),"",(F106-D106)/(D106-E106))</f>
        <v/>
      </c>
      <c r="P106" s="19"/>
      <c r="Q106" s="19"/>
      <c r="R106" s="19"/>
    </row>
    <row r="107" customFormat="false" ht="15" hidden="false" customHeight="false" outlineLevel="0" collapsed="false">
      <c r="A107" s="5" t="n">
        <v>103</v>
      </c>
      <c r="B107" s="18"/>
      <c r="C107" s="19"/>
      <c r="D107" s="20"/>
      <c r="E107" s="20"/>
      <c r="F107" s="20"/>
      <c r="G107" s="21"/>
      <c r="H107" s="10" t="str">
        <f aca="false">IF(OR(D107="",G107=""),"",D107*G107)</f>
        <v/>
      </c>
      <c r="I107" s="18"/>
      <c r="J107" s="20"/>
      <c r="K107" s="22"/>
      <c r="L107" s="10" t="str">
        <f aca="false">IF(OR(J107="",H107=""),"",J107*G107-H107-N(K107))</f>
        <v/>
      </c>
      <c r="M107" s="14" t="str">
        <f aca="false">IF(L107="","",L107/H107)</f>
        <v/>
      </c>
      <c r="N107" s="23" t="str">
        <f aca="false">IF(OR(L107="",E107="",D107&lt;=E107),"",L107/((D107-E107)*G107))</f>
        <v/>
      </c>
      <c r="O107" s="15" t="str">
        <f aca="false">IF(OR(D107="",E107="",F107="",D107&lt;=E107),"",(F107-D107)/(D107-E107))</f>
        <v/>
      </c>
      <c r="P107" s="19"/>
      <c r="Q107" s="19"/>
      <c r="R107" s="19"/>
    </row>
    <row r="108" customFormat="false" ht="15" hidden="false" customHeight="false" outlineLevel="0" collapsed="false">
      <c r="A108" s="5" t="n">
        <v>104</v>
      </c>
      <c r="B108" s="18"/>
      <c r="C108" s="19"/>
      <c r="D108" s="20"/>
      <c r="E108" s="20"/>
      <c r="F108" s="20"/>
      <c r="G108" s="21"/>
      <c r="H108" s="10" t="str">
        <f aca="false">IF(OR(D108="",G108=""),"",D108*G108)</f>
        <v/>
      </c>
      <c r="I108" s="18"/>
      <c r="J108" s="20"/>
      <c r="K108" s="22"/>
      <c r="L108" s="10" t="str">
        <f aca="false">IF(OR(J108="",H108=""),"",J108*G108-H108-N(K108))</f>
        <v/>
      </c>
      <c r="M108" s="14" t="str">
        <f aca="false">IF(L108="","",L108/H108)</f>
        <v/>
      </c>
      <c r="N108" s="23" t="str">
        <f aca="false">IF(OR(L108="",E108="",D108&lt;=E108),"",L108/((D108-E108)*G108))</f>
        <v/>
      </c>
      <c r="O108" s="15" t="str">
        <f aca="false">IF(OR(D108="",E108="",F108="",D108&lt;=E108),"",(F108-D108)/(D108-E108))</f>
        <v/>
      </c>
      <c r="P108" s="19"/>
      <c r="Q108" s="19"/>
      <c r="R108" s="19"/>
    </row>
    <row r="109" customFormat="false" ht="15" hidden="false" customHeight="false" outlineLevel="0" collapsed="false">
      <c r="A109" s="5" t="n">
        <v>105</v>
      </c>
      <c r="B109" s="18"/>
      <c r="C109" s="19"/>
      <c r="D109" s="20"/>
      <c r="E109" s="20"/>
      <c r="F109" s="20"/>
      <c r="G109" s="21"/>
      <c r="H109" s="10" t="str">
        <f aca="false">IF(OR(D109="",G109=""),"",D109*G109)</f>
        <v/>
      </c>
      <c r="I109" s="18"/>
      <c r="J109" s="20"/>
      <c r="K109" s="22"/>
      <c r="L109" s="10" t="str">
        <f aca="false">IF(OR(J109="",H109=""),"",J109*G109-H109-N(K109))</f>
        <v/>
      </c>
      <c r="M109" s="14" t="str">
        <f aca="false">IF(L109="","",L109/H109)</f>
        <v/>
      </c>
      <c r="N109" s="23" t="str">
        <f aca="false">IF(OR(L109="",E109="",D109&lt;=E109),"",L109/((D109-E109)*G109))</f>
        <v/>
      </c>
      <c r="O109" s="15" t="str">
        <f aca="false">IF(OR(D109="",E109="",F109="",D109&lt;=E109),"",(F109-D109)/(D109-E109))</f>
        <v/>
      </c>
      <c r="P109" s="19"/>
      <c r="Q109" s="19"/>
      <c r="R109" s="19"/>
    </row>
    <row r="110" customFormat="false" ht="15" hidden="false" customHeight="false" outlineLevel="0" collapsed="false">
      <c r="A110" s="5" t="n">
        <v>106</v>
      </c>
      <c r="B110" s="18"/>
      <c r="C110" s="19"/>
      <c r="D110" s="20"/>
      <c r="E110" s="20"/>
      <c r="F110" s="20"/>
      <c r="G110" s="21"/>
      <c r="H110" s="10" t="str">
        <f aca="false">IF(OR(D110="",G110=""),"",D110*G110)</f>
        <v/>
      </c>
      <c r="I110" s="18"/>
      <c r="J110" s="20"/>
      <c r="K110" s="22"/>
      <c r="L110" s="10" t="str">
        <f aca="false">IF(OR(J110="",H110=""),"",J110*G110-H110-N(K110))</f>
        <v/>
      </c>
      <c r="M110" s="14" t="str">
        <f aca="false">IF(L110="","",L110/H110)</f>
        <v/>
      </c>
      <c r="N110" s="23" t="str">
        <f aca="false">IF(OR(L110="",E110="",D110&lt;=E110),"",L110/((D110-E110)*G110))</f>
        <v/>
      </c>
      <c r="O110" s="15" t="str">
        <f aca="false">IF(OR(D110="",E110="",F110="",D110&lt;=E110),"",(F110-D110)/(D110-E110))</f>
        <v/>
      </c>
      <c r="P110" s="19"/>
      <c r="Q110" s="19"/>
      <c r="R110" s="19"/>
    </row>
    <row r="111" customFormat="false" ht="15" hidden="false" customHeight="false" outlineLevel="0" collapsed="false">
      <c r="A111" s="5" t="n">
        <v>107</v>
      </c>
      <c r="B111" s="18"/>
      <c r="C111" s="19"/>
      <c r="D111" s="20"/>
      <c r="E111" s="20"/>
      <c r="F111" s="20"/>
      <c r="G111" s="21"/>
      <c r="H111" s="10" t="str">
        <f aca="false">IF(OR(D111="",G111=""),"",D111*G111)</f>
        <v/>
      </c>
      <c r="I111" s="18"/>
      <c r="J111" s="20"/>
      <c r="K111" s="22"/>
      <c r="L111" s="10" t="str">
        <f aca="false">IF(OR(J111="",H111=""),"",J111*G111-H111-N(K111))</f>
        <v/>
      </c>
      <c r="M111" s="14" t="str">
        <f aca="false">IF(L111="","",L111/H111)</f>
        <v/>
      </c>
      <c r="N111" s="23" t="str">
        <f aca="false">IF(OR(L111="",E111="",D111&lt;=E111),"",L111/((D111-E111)*G111))</f>
        <v/>
      </c>
      <c r="O111" s="15" t="str">
        <f aca="false">IF(OR(D111="",E111="",F111="",D111&lt;=E111),"",(F111-D111)/(D111-E111))</f>
        <v/>
      </c>
      <c r="P111" s="19"/>
      <c r="Q111" s="19"/>
      <c r="R111" s="19"/>
    </row>
    <row r="112" customFormat="false" ht="15" hidden="false" customHeight="false" outlineLevel="0" collapsed="false">
      <c r="A112" s="5" t="n">
        <v>108</v>
      </c>
      <c r="B112" s="18"/>
      <c r="C112" s="19"/>
      <c r="D112" s="20"/>
      <c r="E112" s="20"/>
      <c r="F112" s="20"/>
      <c r="G112" s="21"/>
      <c r="H112" s="10" t="str">
        <f aca="false">IF(OR(D112="",G112=""),"",D112*G112)</f>
        <v/>
      </c>
      <c r="I112" s="18"/>
      <c r="J112" s="20"/>
      <c r="K112" s="22"/>
      <c r="L112" s="10" t="str">
        <f aca="false">IF(OR(J112="",H112=""),"",J112*G112-H112-N(K112))</f>
        <v/>
      </c>
      <c r="M112" s="14" t="str">
        <f aca="false">IF(L112="","",L112/H112)</f>
        <v/>
      </c>
      <c r="N112" s="23" t="str">
        <f aca="false">IF(OR(L112="",E112="",D112&lt;=E112),"",L112/((D112-E112)*G112))</f>
        <v/>
      </c>
      <c r="O112" s="15" t="str">
        <f aca="false">IF(OR(D112="",E112="",F112="",D112&lt;=E112),"",(F112-D112)/(D112-E112))</f>
        <v/>
      </c>
      <c r="P112" s="19"/>
      <c r="Q112" s="19"/>
      <c r="R112" s="19"/>
    </row>
    <row r="113" customFormat="false" ht="15" hidden="false" customHeight="false" outlineLevel="0" collapsed="false">
      <c r="A113" s="5" t="n">
        <v>109</v>
      </c>
      <c r="B113" s="18"/>
      <c r="C113" s="19"/>
      <c r="D113" s="20"/>
      <c r="E113" s="20"/>
      <c r="F113" s="20"/>
      <c r="G113" s="21"/>
      <c r="H113" s="10" t="str">
        <f aca="false">IF(OR(D113="",G113=""),"",D113*G113)</f>
        <v/>
      </c>
      <c r="I113" s="18"/>
      <c r="J113" s="20"/>
      <c r="K113" s="22"/>
      <c r="L113" s="10" t="str">
        <f aca="false">IF(OR(J113="",H113=""),"",J113*G113-H113-N(K113))</f>
        <v/>
      </c>
      <c r="M113" s="14" t="str">
        <f aca="false">IF(L113="","",L113/H113)</f>
        <v/>
      </c>
      <c r="N113" s="23" t="str">
        <f aca="false">IF(OR(L113="",E113="",D113&lt;=E113),"",L113/((D113-E113)*G113))</f>
        <v/>
      </c>
      <c r="O113" s="15" t="str">
        <f aca="false">IF(OR(D113="",E113="",F113="",D113&lt;=E113),"",(F113-D113)/(D113-E113))</f>
        <v/>
      </c>
      <c r="P113" s="19"/>
      <c r="Q113" s="19"/>
      <c r="R113" s="19"/>
    </row>
    <row r="114" customFormat="false" ht="15" hidden="false" customHeight="false" outlineLevel="0" collapsed="false">
      <c r="A114" s="5" t="n">
        <v>110</v>
      </c>
      <c r="B114" s="18"/>
      <c r="C114" s="19"/>
      <c r="D114" s="20"/>
      <c r="E114" s="20"/>
      <c r="F114" s="20"/>
      <c r="G114" s="21"/>
      <c r="H114" s="10" t="str">
        <f aca="false">IF(OR(D114="",G114=""),"",D114*G114)</f>
        <v/>
      </c>
      <c r="I114" s="18"/>
      <c r="J114" s="20"/>
      <c r="K114" s="22"/>
      <c r="L114" s="10" t="str">
        <f aca="false">IF(OR(J114="",H114=""),"",J114*G114-H114-N(K114))</f>
        <v/>
      </c>
      <c r="M114" s="14" t="str">
        <f aca="false">IF(L114="","",L114/H114)</f>
        <v/>
      </c>
      <c r="N114" s="23" t="str">
        <f aca="false">IF(OR(L114="",E114="",D114&lt;=E114),"",L114/((D114-E114)*G114))</f>
        <v/>
      </c>
      <c r="O114" s="15" t="str">
        <f aca="false">IF(OR(D114="",E114="",F114="",D114&lt;=E114),"",(F114-D114)/(D114-E114))</f>
        <v/>
      </c>
      <c r="P114" s="19"/>
      <c r="Q114" s="19"/>
      <c r="R114" s="19"/>
    </row>
    <row r="115" customFormat="false" ht="15" hidden="false" customHeight="false" outlineLevel="0" collapsed="false">
      <c r="A115" s="5" t="n">
        <v>111</v>
      </c>
      <c r="B115" s="18"/>
      <c r="C115" s="19"/>
      <c r="D115" s="20"/>
      <c r="E115" s="20"/>
      <c r="F115" s="20"/>
      <c r="G115" s="21"/>
      <c r="H115" s="10" t="str">
        <f aca="false">IF(OR(D115="",G115=""),"",D115*G115)</f>
        <v/>
      </c>
      <c r="I115" s="18"/>
      <c r="J115" s="20"/>
      <c r="K115" s="22"/>
      <c r="L115" s="10" t="str">
        <f aca="false">IF(OR(J115="",H115=""),"",J115*G115-H115-N(K115))</f>
        <v/>
      </c>
      <c r="M115" s="14" t="str">
        <f aca="false">IF(L115="","",L115/H115)</f>
        <v/>
      </c>
      <c r="N115" s="23" t="str">
        <f aca="false">IF(OR(L115="",E115="",D115&lt;=E115),"",L115/((D115-E115)*G115))</f>
        <v/>
      </c>
      <c r="O115" s="15" t="str">
        <f aca="false">IF(OR(D115="",E115="",F115="",D115&lt;=E115),"",(F115-D115)/(D115-E115))</f>
        <v/>
      </c>
      <c r="P115" s="19"/>
      <c r="Q115" s="19"/>
      <c r="R115" s="19"/>
    </row>
    <row r="116" customFormat="false" ht="15" hidden="false" customHeight="false" outlineLevel="0" collapsed="false">
      <c r="A116" s="5" t="n">
        <v>112</v>
      </c>
      <c r="B116" s="18"/>
      <c r="C116" s="19"/>
      <c r="D116" s="20"/>
      <c r="E116" s="20"/>
      <c r="F116" s="20"/>
      <c r="G116" s="21"/>
      <c r="H116" s="10" t="str">
        <f aca="false">IF(OR(D116="",G116=""),"",D116*G116)</f>
        <v/>
      </c>
      <c r="I116" s="18"/>
      <c r="J116" s="20"/>
      <c r="K116" s="22"/>
      <c r="L116" s="10" t="str">
        <f aca="false">IF(OR(J116="",H116=""),"",J116*G116-H116-N(K116))</f>
        <v/>
      </c>
      <c r="M116" s="14" t="str">
        <f aca="false">IF(L116="","",L116/H116)</f>
        <v/>
      </c>
      <c r="N116" s="23" t="str">
        <f aca="false">IF(OR(L116="",E116="",D116&lt;=E116),"",L116/((D116-E116)*G116))</f>
        <v/>
      </c>
      <c r="O116" s="15" t="str">
        <f aca="false">IF(OR(D116="",E116="",F116="",D116&lt;=E116),"",(F116-D116)/(D116-E116))</f>
        <v/>
      </c>
      <c r="P116" s="19"/>
      <c r="Q116" s="19"/>
      <c r="R116" s="19"/>
    </row>
    <row r="117" customFormat="false" ht="15" hidden="false" customHeight="false" outlineLevel="0" collapsed="false">
      <c r="A117" s="5" t="n">
        <v>113</v>
      </c>
      <c r="B117" s="18"/>
      <c r="C117" s="19"/>
      <c r="D117" s="20"/>
      <c r="E117" s="20"/>
      <c r="F117" s="20"/>
      <c r="G117" s="21"/>
      <c r="H117" s="10" t="str">
        <f aca="false">IF(OR(D117="",G117=""),"",D117*G117)</f>
        <v/>
      </c>
      <c r="I117" s="18"/>
      <c r="J117" s="20"/>
      <c r="K117" s="22"/>
      <c r="L117" s="10" t="str">
        <f aca="false">IF(OR(J117="",H117=""),"",J117*G117-H117-N(K117))</f>
        <v/>
      </c>
      <c r="M117" s="14" t="str">
        <f aca="false">IF(L117="","",L117/H117)</f>
        <v/>
      </c>
      <c r="N117" s="23" t="str">
        <f aca="false">IF(OR(L117="",E117="",D117&lt;=E117),"",L117/((D117-E117)*G117))</f>
        <v/>
      </c>
      <c r="O117" s="15" t="str">
        <f aca="false">IF(OR(D117="",E117="",F117="",D117&lt;=E117),"",(F117-D117)/(D117-E117))</f>
        <v/>
      </c>
      <c r="P117" s="19"/>
      <c r="Q117" s="19"/>
      <c r="R117" s="19"/>
    </row>
    <row r="118" customFormat="false" ht="15" hidden="false" customHeight="false" outlineLevel="0" collapsed="false">
      <c r="A118" s="5" t="n">
        <v>114</v>
      </c>
      <c r="B118" s="18"/>
      <c r="C118" s="19"/>
      <c r="D118" s="20"/>
      <c r="E118" s="20"/>
      <c r="F118" s="20"/>
      <c r="G118" s="21"/>
      <c r="H118" s="10" t="str">
        <f aca="false">IF(OR(D118="",G118=""),"",D118*G118)</f>
        <v/>
      </c>
      <c r="I118" s="18"/>
      <c r="J118" s="20"/>
      <c r="K118" s="22"/>
      <c r="L118" s="10" t="str">
        <f aca="false">IF(OR(J118="",H118=""),"",J118*G118-H118-N(K118))</f>
        <v/>
      </c>
      <c r="M118" s="14" t="str">
        <f aca="false">IF(L118="","",L118/H118)</f>
        <v/>
      </c>
      <c r="N118" s="23" t="str">
        <f aca="false">IF(OR(L118="",E118="",D118&lt;=E118),"",L118/((D118-E118)*G118))</f>
        <v/>
      </c>
      <c r="O118" s="15" t="str">
        <f aca="false">IF(OR(D118="",E118="",F118="",D118&lt;=E118),"",(F118-D118)/(D118-E118))</f>
        <v/>
      </c>
      <c r="P118" s="19"/>
      <c r="Q118" s="19"/>
      <c r="R118" s="19"/>
    </row>
    <row r="119" customFormat="false" ht="15" hidden="false" customHeight="false" outlineLevel="0" collapsed="false">
      <c r="A119" s="5" t="n">
        <v>115</v>
      </c>
      <c r="B119" s="18"/>
      <c r="C119" s="19"/>
      <c r="D119" s="20"/>
      <c r="E119" s="20"/>
      <c r="F119" s="20"/>
      <c r="G119" s="21"/>
      <c r="H119" s="10" t="str">
        <f aca="false">IF(OR(D119="",G119=""),"",D119*G119)</f>
        <v/>
      </c>
      <c r="I119" s="18"/>
      <c r="J119" s="20"/>
      <c r="K119" s="22"/>
      <c r="L119" s="10" t="str">
        <f aca="false">IF(OR(J119="",H119=""),"",J119*G119-H119-N(K119))</f>
        <v/>
      </c>
      <c r="M119" s="14" t="str">
        <f aca="false">IF(L119="","",L119/H119)</f>
        <v/>
      </c>
      <c r="N119" s="23" t="str">
        <f aca="false">IF(OR(L119="",E119="",D119&lt;=E119),"",L119/((D119-E119)*G119))</f>
        <v/>
      </c>
      <c r="O119" s="15" t="str">
        <f aca="false">IF(OR(D119="",E119="",F119="",D119&lt;=E119),"",(F119-D119)/(D119-E119))</f>
        <v/>
      </c>
      <c r="P119" s="19"/>
      <c r="Q119" s="19"/>
      <c r="R119" s="19"/>
    </row>
    <row r="120" customFormat="false" ht="15" hidden="false" customHeight="false" outlineLevel="0" collapsed="false">
      <c r="A120" s="5" t="n">
        <v>116</v>
      </c>
      <c r="B120" s="18"/>
      <c r="C120" s="19"/>
      <c r="D120" s="20"/>
      <c r="E120" s="20"/>
      <c r="F120" s="20"/>
      <c r="G120" s="21"/>
      <c r="H120" s="10" t="str">
        <f aca="false">IF(OR(D120="",G120=""),"",D120*G120)</f>
        <v/>
      </c>
      <c r="I120" s="18"/>
      <c r="J120" s="20"/>
      <c r="K120" s="22"/>
      <c r="L120" s="10" t="str">
        <f aca="false">IF(OR(J120="",H120=""),"",J120*G120-H120-N(K120))</f>
        <v/>
      </c>
      <c r="M120" s="14" t="str">
        <f aca="false">IF(L120="","",L120/H120)</f>
        <v/>
      </c>
      <c r="N120" s="23" t="str">
        <f aca="false">IF(OR(L120="",E120="",D120&lt;=E120),"",L120/((D120-E120)*G120))</f>
        <v/>
      </c>
      <c r="O120" s="15" t="str">
        <f aca="false">IF(OR(D120="",E120="",F120="",D120&lt;=E120),"",(F120-D120)/(D120-E120))</f>
        <v/>
      </c>
      <c r="P120" s="19"/>
      <c r="Q120" s="19"/>
      <c r="R120" s="19"/>
    </row>
    <row r="121" customFormat="false" ht="15" hidden="false" customHeight="false" outlineLevel="0" collapsed="false">
      <c r="A121" s="5" t="n">
        <v>117</v>
      </c>
      <c r="B121" s="18"/>
      <c r="C121" s="19"/>
      <c r="D121" s="20"/>
      <c r="E121" s="20"/>
      <c r="F121" s="20"/>
      <c r="G121" s="21"/>
      <c r="H121" s="10" t="str">
        <f aca="false">IF(OR(D121="",G121=""),"",D121*G121)</f>
        <v/>
      </c>
      <c r="I121" s="18"/>
      <c r="J121" s="20"/>
      <c r="K121" s="22"/>
      <c r="L121" s="10" t="str">
        <f aca="false">IF(OR(J121="",H121=""),"",J121*G121-H121-N(K121))</f>
        <v/>
      </c>
      <c r="M121" s="14" t="str">
        <f aca="false">IF(L121="","",L121/H121)</f>
        <v/>
      </c>
      <c r="N121" s="23" t="str">
        <f aca="false">IF(OR(L121="",E121="",D121&lt;=E121),"",L121/((D121-E121)*G121))</f>
        <v/>
      </c>
      <c r="O121" s="15" t="str">
        <f aca="false">IF(OR(D121="",E121="",F121="",D121&lt;=E121),"",(F121-D121)/(D121-E121))</f>
        <v/>
      </c>
      <c r="P121" s="19"/>
      <c r="Q121" s="19"/>
      <c r="R121" s="19"/>
    </row>
    <row r="122" customFormat="false" ht="15" hidden="false" customHeight="false" outlineLevel="0" collapsed="false">
      <c r="A122" s="5" t="n">
        <v>118</v>
      </c>
      <c r="B122" s="18"/>
      <c r="C122" s="19"/>
      <c r="D122" s="20"/>
      <c r="E122" s="20"/>
      <c r="F122" s="20"/>
      <c r="G122" s="21"/>
      <c r="H122" s="10" t="str">
        <f aca="false">IF(OR(D122="",G122=""),"",D122*G122)</f>
        <v/>
      </c>
      <c r="I122" s="18"/>
      <c r="J122" s="20"/>
      <c r="K122" s="22"/>
      <c r="L122" s="10" t="str">
        <f aca="false">IF(OR(J122="",H122=""),"",J122*G122-H122-N(K122))</f>
        <v/>
      </c>
      <c r="M122" s="14" t="str">
        <f aca="false">IF(L122="","",L122/H122)</f>
        <v/>
      </c>
      <c r="N122" s="23" t="str">
        <f aca="false">IF(OR(L122="",E122="",D122&lt;=E122),"",L122/((D122-E122)*G122))</f>
        <v/>
      </c>
      <c r="O122" s="15" t="str">
        <f aca="false">IF(OR(D122="",E122="",F122="",D122&lt;=E122),"",(F122-D122)/(D122-E122))</f>
        <v/>
      </c>
      <c r="P122" s="19"/>
      <c r="Q122" s="19"/>
      <c r="R122" s="19"/>
    </row>
    <row r="123" customFormat="false" ht="15" hidden="false" customHeight="false" outlineLevel="0" collapsed="false">
      <c r="A123" s="5" t="n">
        <v>119</v>
      </c>
      <c r="B123" s="18"/>
      <c r="C123" s="19"/>
      <c r="D123" s="20"/>
      <c r="E123" s="20"/>
      <c r="F123" s="20"/>
      <c r="G123" s="21"/>
      <c r="H123" s="10" t="str">
        <f aca="false">IF(OR(D123="",G123=""),"",D123*G123)</f>
        <v/>
      </c>
      <c r="I123" s="18"/>
      <c r="J123" s="20"/>
      <c r="K123" s="22"/>
      <c r="L123" s="10" t="str">
        <f aca="false">IF(OR(J123="",H123=""),"",J123*G123-H123-N(K123))</f>
        <v/>
      </c>
      <c r="M123" s="14" t="str">
        <f aca="false">IF(L123="","",L123/H123)</f>
        <v/>
      </c>
      <c r="N123" s="23" t="str">
        <f aca="false">IF(OR(L123="",E123="",D123&lt;=E123),"",L123/((D123-E123)*G123))</f>
        <v/>
      </c>
      <c r="O123" s="15" t="str">
        <f aca="false">IF(OR(D123="",E123="",F123="",D123&lt;=E123),"",(F123-D123)/(D123-E123))</f>
        <v/>
      </c>
      <c r="P123" s="19"/>
      <c r="Q123" s="19"/>
      <c r="R123" s="19"/>
    </row>
    <row r="124" customFormat="false" ht="15" hidden="false" customHeight="false" outlineLevel="0" collapsed="false">
      <c r="A124" s="5" t="n">
        <v>120</v>
      </c>
      <c r="B124" s="18"/>
      <c r="C124" s="19"/>
      <c r="D124" s="20"/>
      <c r="E124" s="20"/>
      <c r="F124" s="20"/>
      <c r="G124" s="21"/>
      <c r="H124" s="10" t="str">
        <f aca="false">IF(OR(D124="",G124=""),"",D124*G124)</f>
        <v/>
      </c>
      <c r="I124" s="18"/>
      <c r="J124" s="20"/>
      <c r="K124" s="22"/>
      <c r="L124" s="10" t="str">
        <f aca="false">IF(OR(J124="",H124=""),"",J124*G124-H124-N(K124))</f>
        <v/>
      </c>
      <c r="M124" s="14" t="str">
        <f aca="false">IF(L124="","",L124/H124)</f>
        <v/>
      </c>
      <c r="N124" s="23" t="str">
        <f aca="false">IF(OR(L124="",E124="",D124&lt;=E124),"",L124/((D124-E124)*G124))</f>
        <v/>
      </c>
      <c r="O124" s="15" t="str">
        <f aca="false">IF(OR(D124="",E124="",F124="",D124&lt;=E124),"",(F124-D124)/(D124-E124))</f>
        <v/>
      </c>
      <c r="P124" s="19"/>
      <c r="Q124" s="19"/>
      <c r="R124" s="19"/>
    </row>
    <row r="125" customFormat="false" ht="15" hidden="false" customHeight="false" outlineLevel="0" collapsed="false">
      <c r="A125" s="5" t="n">
        <v>121</v>
      </c>
      <c r="B125" s="18"/>
      <c r="C125" s="19"/>
      <c r="D125" s="20"/>
      <c r="E125" s="20"/>
      <c r="F125" s="20"/>
      <c r="G125" s="21"/>
      <c r="H125" s="10" t="str">
        <f aca="false">IF(OR(D125="",G125=""),"",D125*G125)</f>
        <v/>
      </c>
      <c r="I125" s="18"/>
      <c r="J125" s="20"/>
      <c r="K125" s="22"/>
      <c r="L125" s="10" t="str">
        <f aca="false">IF(OR(J125="",H125=""),"",J125*G125-H125-N(K125))</f>
        <v/>
      </c>
      <c r="M125" s="14" t="str">
        <f aca="false">IF(L125="","",L125/H125)</f>
        <v/>
      </c>
      <c r="N125" s="23" t="str">
        <f aca="false">IF(OR(L125="",E125="",D125&lt;=E125),"",L125/((D125-E125)*G125))</f>
        <v/>
      </c>
      <c r="O125" s="15" t="str">
        <f aca="false">IF(OR(D125="",E125="",F125="",D125&lt;=E125),"",(F125-D125)/(D125-E125))</f>
        <v/>
      </c>
      <c r="P125" s="19"/>
      <c r="Q125" s="19"/>
      <c r="R125" s="19"/>
    </row>
    <row r="126" customFormat="false" ht="15" hidden="false" customHeight="false" outlineLevel="0" collapsed="false">
      <c r="A126" s="5" t="n">
        <v>122</v>
      </c>
      <c r="B126" s="18"/>
      <c r="C126" s="19"/>
      <c r="D126" s="20"/>
      <c r="E126" s="20"/>
      <c r="F126" s="20"/>
      <c r="G126" s="21"/>
      <c r="H126" s="10" t="str">
        <f aca="false">IF(OR(D126="",G126=""),"",D126*G126)</f>
        <v/>
      </c>
      <c r="I126" s="18"/>
      <c r="J126" s="20"/>
      <c r="K126" s="22"/>
      <c r="L126" s="10" t="str">
        <f aca="false">IF(OR(J126="",H126=""),"",J126*G126-H126-N(K126))</f>
        <v/>
      </c>
      <c r="M126" s="14" t="str">
        <f aca="false">IF(L126="","",L126/H126)</f>
        <v/>
      </c>
      <c r="N126" s="23" t="str">
        <f aca="false">IF(OR(L126="",E126="",D126&lt;=E126),"",L126/((D126-E126)*G126))</f>
        <v/>
      </c>
      <c r="O126" s="15" t="str">
        <f aca="false">IF(OR(D126="",E126="",F126="",D126&lt;=E126),"",(F126-D126)/(D126-E126))</f>
        <v/>
      </c>
      <c r="P126" s="19"/>
      <c r="Q126" s="19"/>
      <c r="R126" s="19"/>
    </row>
    <row r="127" customFormat="false" ht="15" hidden="false" customHeight="false" outlineLevel="0" collapsed="false">
      <c r="A127" s="5" t="n">
        <v>123</v>
      </c>
      <c r="B127" s="18"/>
      <c r="C127" s="19"/>
      <c r="D127" s="20"/>
      <c r="E127" s="20"/>
      <c r="F127" s="20"/>
      <c r="G127" s="21"/>
      <c r="H127" s="10" t="str">
        <f aca="false">IF(OR(D127="",G127=""),"",D127*G127)</f>
        <v/>
      </c>
      <c r="I127" s="18"/>
      <c r="J127" s="20"/>
      <c r="K127" s="22"/>
      <c r="L127" s="10" t="str">
        <f aca="false">IF(OR(J127="",H127=""),"",J127*G127-H127-N(K127))</f>
        <v/>
      </c>
      <c r="M127" s="14" t="str">
        <f aca="false">IF(L127="","",L127/H127)</f>
        <v/>
      </c>
      <c r="N127" s="23" t="str">
        <f aca="false">IF(OR(L127="",E127="",D127&lt;=E127),"",L127/((D127-E127)*G127))</f>
        <v/>
      </c>
      <c r="O127" s="15" t="str">
        <f aca="false">IF(OR(D127="",E127="",F127="",D127&lt;=E127),"",(F127-D127)/(D127-E127))</f>
        <v/>
      </c>
      <c r="P127" s="19"/>
      <c r="Q127" s="19"/>
      <c r="R127" s="19"/>
    </row>
    <row r="128" customFormat="false" ht="15" hidden="false" customHeight="false" outlineLevel="0" collapsed="false">
      <c r="A128" s="5" t="n">
        <v>124</v>
      </c>
      <c r="B128" s="18"/>
      <c r="C128" s="19"/>
      <c r="D128" s="20"/>
      <c r="E128" s="20"/>
      <c r="F128" s="20"/>
      <c r="G128" s="21"/>
      <c r="H128" s="10" t="str">
        <f aca="false">IF(OR(D128="",G128=""),"",D128*G128)</f>
        <v/>
      </c>
      <c r="I128" s="18"/>
      <c r="J128" s="20"/>
      <c r="K128" s="22"/>
      <c r="L128" s="10" t="str">
        <f aca="false">IF(OR(J128="",H128=""),"",J128*G128-H128-N(K128))</f>
        <v/>
      </c>
      <c r="M128" s="14" t="str">
        <f aca="false">IF(L128="","",L128/H128)</f>
        <v/>
      </c>
      <c r="N128" s="23" t="str">
        <f aca="false">IF(OR(L128="",E128="",D128&lt;=E128),"",L128/((D128-E128)*G128))</f>
        <v/>
      </c>
      <c r="O128" s="15" t="str">
        <f aca="false">IF(OR(D128="",E128="",F128="",D128&lt;=E128),"",(F128-D128)/(D128-E128))</f>
        <v/>
      </c>
      <c r="P128" s="19"/>
      <c r="Q128" s="19"/>
      <c r="R128" s="19"/>
    </row>
    <row r="129" customFormat="false" ht="15" hidden="false" customHeight="false" outlineLevel="0" collapsed="false">
      <c r="A129" s="5" t="n">
        <v>125</v>
      </c>
      <c r="B129" s="18"/>
      <c r="C129" s="19"/>
      <c r="D129" s="20"/>
      <c r="E129" s="20"/>
      <c r="F129" s="20"/>
      <c r="G129" s="21"/>
      <c r="H129" s="10" t="str">
        <f aca="false">IF(OR(D129="",G129=""),"",D129*G129)</f>
        <v/>
      </c>
      <c r="I129" s="18"/>
      <c r="J129" s="20"/>
      <c r="K129" s="22"/>
      <c r="L129" s="10" t="str">
        <f aca="false">IF(OR(J129="",H129=""),"",J129*G129-H129-N(K129))</f>
        <v/>
      </c>
      <c r="M129" s="14" t="str">
        <f aca="false">IF(L129="","",L129/H129)</f>
        <v/>
      </c>
      <c r="N129" s="23" t="str">
        <f aca="false">IF(OR(L129="",E129="",D129&lt;=E129),"",L129/((D129-E129)*G129))</f>
        <v/>
      </c>
      <c r="O129" s="15" t="str">
        <f aca="false">IF(OR(D129="",E129="",F129="",D129&lt;=E129),"",(F129-D129)/(D129-E129))</f>
        <v/>
      </c>
      <c r="P129" s="19"/>
      <c r="Q129" s="19"/>
      <c r="R129" s="19"/>
    </row>
    <row r="130" customFormat="false" ht="15" hidden="false" customHeight="false" outlineLevel="0" collapsed="false">
      <c r="A130" s="5" t="n">
        <v>126</v>
      </c>
      <c r="B130" s="18"/>
      <c r="C130" s="19"/>
      <c r="D130" s="20"/>
      <c r="E130" s="20"/>
      <c r="F130" s="20"/>
      <c r="G130" s="21"/>
      <c r="H130" s="10" t="str">
        <f aca="false">IF(OR(D130="",G130=""),"",D130*G130)</f>
        <v/>
      </c>
      <c r="I130" s="18"/>
      <c r="J130" s="20"/>
      <c r="K130" s="22"/>
      <c r="L130" s="10" t="str">
        <f aca="false">IF(OR(J130="",H130=""),"",J130*G130-H130-N(K130))</f>
        <v/>
      </c>
      <c r="M130" s="14" t="str">
        <f aca="false">IF(L130="","",L130/H130)</f>
        <v/>
      </c>
      <c r="N130" s="23" t="str">
        <f aca="false">IF(OR(L130="",E130="",D130&lt;=E130),"",L130/((D130-E130)*G130))</f>
        <v/>
      </c>
      <c r="O130" s="15" t="str">
        <f aca="false">IF(OR(D130="",E130="",F130="",D130&lt;=E130),"",(F130-D130)/(D130-E130))</f>
        <v/>
      </c>
      <c r="P130" s="19"/>
      <c r="Q130" s="19"/>
      <c r="R130" s="19"/>
    </row>
    <row r="131" customFormat="false" ht="15" hidden="false" customHeight="false" outlineLevel="0" collapsed="false">
      <c r="A131" s="5" t="n">
        <v>127</v>
      </c>
      <c r="B131" s="18"/>
      <c r="C131" s="19"/>
      <c r="D131" s="20"/>
      <c r="E131" s="20"/>
      <c r="F131" s="20"/>
      <c r="G131" s="21"/>
      <c r="H131" s="10" t="str">
        <f aca="false">IF(OR(D131="",G131=""),"",D131*G131)</f>
        <v/>
      </c>
      <c r="I131" s="18"/>
      <c r="J131" s="20"/>
      <c r="K131" s="22"/>
      <c r="L131" s="10" t="str">
        <f aca="false">IF(OR(J131="",H131=""),"",J131*G131-H131-N(K131))</f>
        <v/>
      </c>
      <c r="M131" s="14" t="str">
        <f aca="false">IF(L131="","",L131/H131)</f>
        <v/>
      </c>
      <c r="N131" s="23" t="str">
        <f aca="false">IF(OR(L131="",E131="",D131&lt;=E131),"",L131/((D131-E131)*G131))</f>
        <v/>
      </c>
      <c r="O131" s="15" t="str">
        <f aca="false">IF(OR(D131="",E131="",F131="",D131&lt;=E131),"",(F131-D131)/(D131-E131))</f>
        <v/>
      </c>
      <c r="P131" s="19"/>
      <c r="Q131" s="19"/>
      <c r="R131" s="19"/>
    </row>
    <row r="132" customFormat="false" ht="15" hidden="false" customHeight="false" outlineLevel="0" collapsed="false">
      <c r="A132" s="5" t="n">
        <v>128</v>
      </c>
      <c r="B132" s="18"/>
      <c r="C132" s="19"/>
      <c r="D132" s="20"/>
      <c r="E132" s="20"/>
      <c r="F132" s="20"/>
      <c r="G132" s="21"/>
      <c r="H132" s="10" t="str">
        <f aca="false">IF(OR(D132="",G132=""),"",D132*G132)</f>
        <v/>
      </c>
      <c r="I132" s="18"/>
      <c r="J132" s="20"/>
      <c r="K132" s="22"/>
      <c r="L132" s="10" t="str">
        <f aca="false">IF(OR(J132="",H132=""),"",J132*G132-H132-N(K132))</f>
        <v/>
      </c>
      <c r="M132" s="14" t="str">
        <f aca="false">IF(L132="","",L132/H132)</f>
        <v/>
      </c>
      <c r="N132" s="23" t="str">
        <f aca="false">IF(OR(L132="",E132="",D132&lt;=E132),"",L132/((D132-E132)*G132))</f>
        <v/>
      </c>
      <c r="O132" s="15" t="str">
        <f aca="false">IF(OR(D132="",E132="",F132="",D132&lt;=E132),"",(F132-D132)/(D132-E132))</f>
        <v/>
      </c>
      <c r="P132" s="19"/>
      <c r="Q132" s="19"/>
      <c r="R132" s="19"/>
    </row>
    <row r="133" customFormat="false" ht="15" hidden="false" customHeight="false" outlineLevel="0" collapsed="false">
      <c r="A133" s="5" t="n">
        <v>129</v>
      </c>
      <c r="B133" s="18"/>
      <c r="C133" s="19"/>
      <c r="D133" s="20"/>
      <c r="E133" s="20"/>
      <c r="F133" s="20"/>
      <c r="G133" s="21"/>
      <c r="H133" s="10" t="str">
        <f aca="false">IF(OR(D133="",G133=""),"",D133*G133)</f>
        <v/>
      </c>
      <c r="I133" s="18"/>
      <c r="J133" s="20"/>
      <c r="K133" s="22"/>
      <c r="L133" s="10" t="str">
        <f aca="false">IF(OR(J133="",H133=""),"",J133*G133-H133-N(K133))</f>
        <v/>
      </c>
      <c r="M133" s="14" t="str">
        <f aca="false">IF(L133="","",L133/H133)</f>
        <v/>
      </c>
      <c r="N133" s="23" t="str">
        <f aca="false">IF(OR(L133="",E133="",D133&lt;=E133),"",L133/((D133-E133)*G133))</f>
        <v/>
      </c>
      <c r="O133" s="15" t="str">
        <f aca="false">IF(OR(D133="",E133="",F133="",D133&lt;=E133),"",(F133-D133)/(D133-E133))</f>
        <v/>
      </c>
      <c r="P133" s="19"/>
      <c r="Q133" s="19"/>
      <c r="R133" s="19"/>
    </row>
    <row r="134" customFormat="false" ht="15" hidden="false" customHeight="false" outlineLevel="0" collapsed="false">
      <c r="A134" s="5" t="n">
        <v>130</v>
      </c>
      <c r="B134" s="18"/>
      <c r="C134" s="19"/>
      <c r="D134" s="20"/>
      <c r="E134" s="20"/>
      <c r="F134" s="20"/>
      <c r="G134" s="21"/>
      <c r="H134" s="10" t="str">
        <f aca="false">IF(OR(D134="",G134=""),"",D134*G134)</f>
        <v/>
      </c>
      <c r="I134" s="18"/>
      <c r="J134" s="20"/>
      <c r="K134" s="22"/>
      <c r="L134" s="10" t="str">
        <f aca="false">IF(OR(J134="",H134=""),"",J134*G134-H134-N(K134))</f>
        <v/>
      </c>
      <c r="M134" s="14" t="str">
        <f aca="false">IF(L134="","",L134/H134)</f>
        <v/>
      </c>
      <c r="N134" s="23" t="str">
        <f aca="false">IF(OR(L134="",E134="",D134&lt;=E134),"",L134/((D134-E134)*G134))</f>
        <v/>
      </c>
      <c r="O134" s="15" t="str">
        <f aca="false">IF(OR(D134="",E134="",F134="",D134&lt;=E134),"",(F134-D134)/(D134-E134))</f>
        <v/>
      </c>
      <c r="P134" s="19"/>
      <c r="Q134" s="19"/>
      <c r="R134" s="19"/>
    </row>
    <row r="135" customFormat="false" ht="15" hidden="false" customHeight="false" outlineLevel="0" collapsed="false">
      <c r="A135" s="5" t="n">
        <v>131</v>
      </c>
      <c r="B135" s="18"/>
      <c r="C135" s="19"/>
      <c r="D135" s="20"/>
      <c r="E135" s="20"/>
      <c r="F135" s="20"/>
      <c r="G135" s="21"/>
      <c r="H135" s="10" t="str">
        <f aca="false">IF(OR(D135="",G135=""),"",D135*G135)</f>
        <v/>
      </c>
      <c r="I135" s="18"/>
      <c r="J135" s="20"/>
      <c r="K135" s="22"/>
      <c r="L135" s="10" t="str">
        <f aca="false">IF(OR(J135="",H135=""),"",J135*G135-H135-N(K135))</f>
        <v/>
      </c>
      <c r="M135" s="14" t="str">
        <f aca="false">IF(L135="","",L135/H135)</f>
        <v/>
      </c>
      <c r="N135" s="23" t="str">
        <f aca="false">IF(OR(L135="",E135="",D135&lt;=E135),"",L135/((D135-E135)*G135))</f>
        <v/>
      </c>
      <c r="O135" s="15" t="str">
        <f aca="false">IF(OR(D135="",E135="",F135="",D135&lt;=E135),"",(F135-D135)/(D135-E135))</f>
        <v/>
      </c>
      <c r="P135" s="19"/>
      <c r="Q135" s="19"/>
      <c r="R135" s="19"/>
    </row>
    <row r="136" customFormat="false" ht="15" hidden="false" customHeight="false" outlineLevel="0" collapsed="false">
      <c r="A136" s="5" t="n">
        <v>132</v>
      </c>
      <c r="B136" s="18"/>
      <c r="C136" s="19"/>
      <c r="D136" s="20"/>
      <c r="E136" s="20"/>
      <c r="F136" s="20"/>
      <c r="G136" s="21"/>
      <c r="H136" s="10" t="str">
        <f aca="false">IF(OR(D136="",G136=""),"",D136*G136)</f>
        <v/>
      </c>
      <c r="I136" s="18"/>
      <c r="J136" s="20"/>
      <c r="K136" s="22"/>
      <c r="L136" s="10" t="str">
        <f aca="false">IF(OR(J136="",H136=""),"",J136*G136-H136-N(K136))</f>
        <v/>
      </c>
      <c r="M136" s="14" t="str">
        <f aca="false">IF(L136="","",L136/H136)</f>
        <v/>
      </c>
      <c r="N136" s="23" t="str">
        <f aca="false">IF(OR(L136="",E136="",D136&lt;=E136),"",L136/((D136-E136)*G136))</f>
        <v/>
      </c>
      <c r="O136" s="15" t="str">
        <f aca="false">IF(OR(D136="",E136="",F136="",D136&lt;=E136),"",(F136-D136)/(D136-E136))</f>
        <v/>
      </c>
      <c r="P136" s="19"/>
      <c r="Q136" s="19"/>
      <c r="R136" s="19"/>
    </row>
    <row r="137" customFormat="false" ht="15" hidden="false" customHeight="false" outlineLevel="0" collapsed="false">
      <c r="A137" s="5" t="n">
        <v>133</v>
      </c>
      <c r="B137" s="18"/>
      <c r="C137" s="19"/>
      <c r="D137" s="20"/>
      <c r="E137" s="20"/>
      <c r="F137" s="20"/>
      <c r="G137" s="21"/>
      <c r="H137" s="10" t="str">
        <f aca="false">IF(OR(D137="",G137=""),"",D137*G137)</f>
        <v/>
      </c>
      <c r="I137" s="18"/>
      <c r="J137" s="20"/>
      <c r="K137" s="22"/>
      <c r="L137" s="10" t="str">
        <f aca="false">IF(OR(J137="",H137=""),"",J137*G137-H137-N(K137))</f>
        <v/>
      </c>
      <c r="M137" s="14" t="str">
        <f aca="false">IF(L137="","",L137/H137)</f>
        <v/>
      </c>
      <c r="N137" s="23" t="str">
        <f aca="false">IF(OR(L137="",E137="",D137&lt;=E137),"",L137/((D137-E137)*G137))</f>
        <v/>
      </c>
      <c r="O137" s="15" t="str">
        <f aca="false">IF(OR(D137="",E137="",F137="",D137&lt;=E137),"",(F137-D137)/(D137-E137))</f>
        <v/>
      </c>
      <c r="P137" s="19"/>
      <c r="Q137" s="19"/>
      <c r="R137" s="19"/>
    </row>
    <row r="138" customFormat="false" ht="15" hidden="false" customHeight="false" outlineLevel="0" collapsed="false">
      <c r="A138" s="5" t="n">
        <v>134</v>
      </c>
      <c r="B138" s="18"/>
      <c r="C138" s="19"/>
      <c r="D138" s="20"/>
      <c r="E138" s="20"/>
      <c r="F138" s="20"/>
      <c r="G138" s="21"/>
      <c r="H138" s="10" t="str">
        <f aca="false">IF(OR(D138="",G138=""),"",D138*G138)</f>
        <v/>
      </c>
      <c r="I138" s="18"/>
      <c r="J138" s="20"/>
      <c r="K138" s="22"/>
      <c r="L138" s="10" t="str">
        <f aca="false">IF(OR(J138="",H138=""),"",J138*G138-H138-N(K138))</f>
        <v/>
      </c>
      <c r="M138" s="14" t="str">
        <f aca="false">IF(L138="","",L138/H138)</f>
        <v/>
      </c>
      <c r="N138" s="23" t="str">
        <f aca="false">IF(OR(L138="",E138="",D138&lt;=E138),"",L138/((D138-E138)*G138))</f>
        <v/>
      </c>
      <c r="O138" s="15" t="str">
        <f aca="false">IF(OR(D138="",E138="",F138="",D138&lt;=E138),"",(F138-D138)/(D138-E138))</f>
        <v/>
      </c>
      <c r="P138" s="19"/>
      <c r="Q138" s="19"/>
      <c r="R138" s="19"/>
    </row>
    <row r="139" customFormat="false" ht="15" hidden="false" customHeight="false" outlineLevel="0" collapsed="false">
      <c r="A139" s="5" t="n">
        <v>135</v>
      </c>
      <c r="B139" s="18"/>
      <c r="C139" s="19"/>
      <c r="D139" s="20"/>
      <c r="E139" s="20"/>
      <c r="F139" s="20"/>
      <c r="G139" s="21"/>
      <c r="H139" s="10" t="str">
        <f aca="false">IF(OR(D139="",G139=""),"",D139*G139)</f>
        <v/>
      </c>
      <c r="I139" s="18"/>
      <c r="J139" s="20"/>
      <c r="K139" s="22"/>
      <c r="L139" s="10" t="str">
        <f aca="false">IF(OR(J139="",H139=""),"",J139*G139-H139-N(K139))</f>
        <v/>
      </c>
      <c r="M139" s="14" t="str">
        <f aca="false">IF(L139="","",L139/H139)</f>
        <v/>
      </c>
      <c r="N139" s="23" t="str">
        <f aca="false">IF(OR(L139="",E139="",D139&lt;=E139),"",L139/((D139-E139)*G139))</f>
        <v/>
      </c>
      <c r="O139" s="15" t="str">
        <f aca="false">IF(OR(D139="",E139="",F139="",D139&lt;=E139),"",(F139-D139)/(D139-E139))</f>
        <v/>
      </c>
      <c r="P139" s="19"/>
      <c r="Q139" s="19"/>
      <c r="R139" s="19"/>
    </row>
    <row r="140" customFormat="false" ht="15" hidden="false" customHeight="false" outlineLevel="0" collapsed="false">
      <c r="A140" s="5" t="n">
        <v>136</v>
      </c>
      <c r="B140" s="18"/>
      <c r="C140" s="19"/>
      <c r="D140" s="20"/>
      <c r="E140" s="20"/>
      <c r="F140" s="20"/>
      <c r="G140" s="21"/>
      <c r="H140" s="10" t="str">
        <f aca="false">IF(OR(D140="",G140=""),"",D140*G140)</f>
        <v/>
      </c>
      <c r="I140" s="18"/>
      <c r="J140" s="20"/>
      <c r="K140" s="22"/>
      <c r="L140" s="10" t="str">
        <f aca="false">IF(OR(J140="",H140=""),"",J140*G140-H140-N(K140))</f>
        <v/>
      </c>
      <c r="M140" s="14" t="str">
        <f aca="false">IF(L140="","",L140/H140)</f>
        <v/>
      </c>
      <c r="N140" s="23" t="str">
        <f aca="false">IF(OR(L140="",E140="",D140&lt;=E140),"",L140/((D140-E140)*G140))</f>
        <v/>
      </c>
      <c r="O140" s="15" t="str">
        <f aca="false">IF(OR(D140="",E140="",F140="",D140&lt;=E140),"",(F140-D140)/(D140-E140))</f>
        <v/>
      </c>
      <c r="P140" s="19"/>
      <c r="Q140" s="19"/>
      <c r="R140" s="19"/>
    </row>
    <row r="141" customFormat="false" ht="15" hidden="false" customHeight="false" outlineLevel="0" collapsed="false">
      <c r="A141" s="5" t="n">
        <v>137</v>
      </c>
      <c r="B141" s="18"/>
      <c r="C141" s="19"/>
      <c r="D141" s="20"/>
      <c r="E141" s="20"/>
      <c r="F141" s="20"/>
      <c r="G141" s="21"/>
      <c r="H141" s="10" t="str">
        <f aca="false">IF(OR(D141="",G141=""),"",D141*G141)</f>
        <v/>
      </c>
      <c r="I141" s="18"/>
      <c r="J141" s="20"/>
      <c r="K141" s="22"/>
      <c r="L141" s="10" t="str">
        <f aca="false">IF(OR(J141="",H141=""),"",J141*G141-H141-N(K141))</f>
        <v/>
      </c>
      <c r="M141" s="14" t="str">
        <f aca="false">IF(L141="","",L141/H141)</f>
        <v/>
      </c>
      <c r="N141" s="23" t="str">
        <f aca="false">IF(OR(L141="",E141="",D141&lt;=E141),"",L141/((D141-E141)*G141))</f>
        <v/>
      </c>
      <c r="O141" s="15" t="str">
        <f aca="false">IF(OR(D141="",E141="",F141="",D141&lt;=E141),"",(F141-D141)/(D141-E141))</f>
        <v/>
      </c>
      <c r="P141" s="19"/>
      <c r="Q141" s="19"/>
      <c r="R141" s="19"/>
    </row>
    <row r="142" customFormat="false" ht="15" hidden="false" customHeight="false" outlineLevel="0" collapsed="false">
      <c r="A142" s="5" t="n">
        <v>138</v>
      </c>
      <c r="B142" s="18"/>
      <c r="C142" s="19"/>
      <c r="D142" s="20"/>
      <c r="E142" s="20"/>
      <c r="F142" s="20"/>
      <c r="G142" s="21"/>
      <c r="H142" s="10" t="str">
        <f aca="false">IF(OR(D142="",G142=""),"",D142*G142)</f>
        <v/>
      </c>
      <c r="I142" s="18"/>
      <c r="J142" s="20"/>
      <c r="K142" s="22"/>
      <c r="L142" s="10" t="str">
        <f aca="false">IF(OR(J142="",H142=""),"",J142*G142-H142-N(K142))</f>
        <v/>
      </c>
      <c r="M142" s="14" t="str">
        <f aca="false">IF(L142="","",L142/H142)</f>
        <v/>
      </c>
      <c r="N142" s="23" t="str">
        <f aca="false">IF(OR(L142="",E142="",D142&lt;=E142),"",L142/((D142-E142)*G142))</f>
        <v/>
      </c>
      <c r="O142" s="15" t="str">
        <f aca="false">IF(OR(D142="",E142="",F142="",D142&lt;=E142),"",(F142-D142)/(D142-E142))</f>
        <v/>
      </c>
      <c r="P142" s="19"/>
      <c r="Q142" s="19"/>
      <c r="R142" s="19"/>
    </row>
    <row r="143" customFormat="false" ht="15" hidden="false" customHeight="false" outlineLevel="0" collapsed="false">
      <c r="A143" s="5" t="n">
        <v>139</v>
      </c>
      <c r="B143" s="18"/>
      <c r="C143" s="19"/>
      <c r="D143" s="20"/>
      <c r="E143" s="20"/>
      <c r="F143" s="20"/>
      <c r="G143" s="21"/>
      <c r="H143" s="10" t="str">
        <f aca="false">IF(OR(D143="",G143=""),"",D143*G143)</f>
        <v/>
      </c>
      <c r="I143" s="18"/>
      <c r="J143" s="20"/>
      <c r="K143" s="22"/>
      <c r="L143" s="10" t="str">
        <f aca="false">IF(OR(J143="",H143=""),"",J143*G143-H143-N(K143))</f>
        <v/>
      </c>
      <c r="M143" s="14" t="str">
        <f aca="false">IF(L143="","",L143/H143)</f>
        <v/>
      </c>
      <c r="N143" s="23" t="str">
        <f aca="false">IF(OR(L143="",E143="",D143&lt;=E143),"",L143/((D143-E143)*G143))</f>
        <v/>
      </c>
      <c r="O143" s="15" t="str">
        <f aca="false">IF(OR(D143="",E143="",F143="",D143&lt;=E143),"",(F143-D143)/(D143-E143))</f>
        <v/>
      </c>
      <c r="P143" s="19"/>
      <c r="Q143" s="19"/>
      <c r="R143" s="19"/>
    </row>
    <row r="144" customFormat="false" ht="15" hidden="false" customHeight="false" outlineLevel="0" collapsed="false">
      <c r="A144" s="5" t="n">
        <v>140</v>
      </c>
      <c r="B144" s="18"/>
      <c r="C144" s="19"/>
      <c r="D144" s="20"/>
      <c r="E144" s="20"/>
      <c r="F144" s="20"/>
      <c r="G144" s="21"/>
      <c r="H144" s="10" t="str">
        <f aca="false">IF(OR(D144="",G144=""),"",D144*G144)</f>
        <v/>
      </c>
      <c r="I144" s="18"/>
      <c r="J144" s="20"/>
      <c r="K144" s="22"/>
      <c r="L144" s="10" t="str">
        <f aca="false">IF(OR(J144="",H144=""),"",J144*G144-H144-N(K144))</f>
        <v/>
      </c>
      <c r="M144" s="14" t="str">
        <f aca="false">IF(L144="","",L144/H144)</f>
        <v/>
      </c>
      <c r="N144" s="23" t="str">
        <f aca="false">IF(OR(L144="",E144="",D144&lt;=E144),"",L144/((D144-E144)*G144))</f>
        <v/>
      </c>
      <c r="O144" s="15" t="str">
        <f aca="false">IF(OR(D144="",E144="",F144="",D144&lt;=E144),"",(F144-D144)/(D144-E144))</f>
        <v/>
      </c>
      <c r="P144" s="19"/>
      <c r="Q144" s="19"/>
      <c r="R144" s="19"/>
    </row>
    <row r="145" customFormat="false" ht="15" hidden="false" customHeight="false" outlineLevel="0" collapsed="false">
      <c r="A145" s="5" t="n">
        <v>141</v>
      </c>
      <c r="B145" s="18"/>
      <c r="C145" s="19"/>
      <c r="D145" s="20"/>
      <c r="E145" s="20"/>
      <c r="F145" s="20"/>
      <c r="G145" s="21"/>
      <c r="H145" s="10" t="str">
        <f aca="false">IF(OR(D145="",G145=""),"",D145*G145)</f>
        <v/>
      </c>
      <c r="I145" s="18"/>
      <c r="J145" s="20"/>
      <c r="K145" s="22"/>
      <c r="L145" s="10" t="str">
        <f aca="false">IF(OR(J145="",H145=""),"",J145*G145-H145-N(K145))</f>
        <v/>
      </c>
      <c r="M145" s="14" t="str">
        <f aca="false">IF(L145="","",L145/H145)</f>
        <v/>
      </c>
      <c r="N145" s="23" t="str">
        <f aca="false">IF(OR(L145="",E145="",D145&lt;=E145),"",L145/((D145-E145)*G145))</f>
        <v/>
      </c>
      <c r="O145" s="15" t="str">
        <f aca="false">IF(OR(D145="",E145="",F145="",D145&lt;=E145),"",(F145-D145)/(D145-E145))</f>
        <v/>
      </c>
      <c r="P145" s="19"/>
      <c r="Q145" s="19"/>
      <c r="R145" s="19"/>
    </row>
    <row r="146" customFormat="false" ht="15" hidden="false" customHeight="false" outlineLevel="0" collapsed="false">
      <c r="A146" s="5" t="n">
        <v>142</v>
      </c>
      <c r="B146" s="18"/>
      <c r="C146" s="19"/>
      <c r="D146" s="20"/>
      <c r="E146" s="20"/>
      <c r="F146" s="20"/>
      <c r="G146" s="21"/>
      <c r="H146" s="10" t="str">
        <f aca="false">IF(OR(D146="",G146=""),"",D146*G146)</f>
        <v/>
      </c>
      <c r="I146" s="18"/>
      <c r="J146" s="20"/>
      <c r="K146" s="22"/>
      <c r="L146" s="10" t="str">
        <f aca="false">IF(OR(J146="",H146=""),"",J146*G146-H146-N(K146))</f>
        <v/>
      </c>
      <c r="M146" s="14" t="str">
        <f aca="false">IF(L146="","",L146/H146)</f>
        <v/>
      </c>
      <c r="N146" s="23" t="str">
        <f aca="false">IF(OR(L146="",E146="",D146&lt;=E146),"",L146/((D146-E146)*G146))</f>
        <v/>
      </c>
      <c r="O146" s="15" t="str">
        <f aca="false">IF(OR(D146="",E146="",F146="",D146&lt;=E146),"",(F146-D146)/(D146-E146))</f>
        <v/>
      </c>
      <c r="P146" s="19"/>
      <c r="Q146" s="19"/>
      <c r="R146" s="19"/>
    </row>
    <row r="147" customFormat="false" ht="15" hidden="false" customHeight="false" outlineLevel="0" collapsed="false">
      <c r="A147" s="5" t="n">
        <v>143</v>
      </c>
      <c r="B147" s="18"/>
      <c r="C147" s="19"/>
      <c r="D147" s="20"/>
      <c r="E147" s="20"/>
      <c r="F147" s="20"/>
      <c r="G147" s="21"/>
      <c r="H147" s="10" t="str">
        <f aca="false">IF(OR(D147="",G147=""),"",D147*G147)</f>
        <v/>
      </c>
      <c r="I147" s="18"/>
      <c r="J147" s="20"/>
      <c r="K147" s="22"/>
      <c r="L147" s="10" t="str">
        <f aca="false">IF(OR(J147="",H147=""),"",J147*G147-H147-N(K147))</f>
        <v/>
      </c>
      <c r="M147" s="14" t="str">
        <f aca="false">IF(L147="","",L147/H147)</f>
        <v/>
      </c>
      <c r="N147" s="23" t="str">
        <f aca="false">IF(OR(L147="",E147="",D147&lt;=E147),"",L147/((D147-E147)*G147))</f>
        <v/>
      </c>
      <c r="O147" s="15" t="str">
        <f aca="false">IF(OR(D147="",E147="",F147="",D147&lt;=E147),"",(F147-D147)/(D147-E147))</f>
        <v/>
      </c>
      <c r="P147" s="19"/>
      <c r="Q147" s="19"/>
      <c r="R147" s="19"/>
    </row>
    <row r="148" customFormat="false" ht="15" hidden="false" customHeight="false" outlineLevel="0" collapsed="false">
      <c r="A148" s="5" t="n">
        <v>144</v>
      </c>
      <c r="B148" s="18"/>
      <c r="C148" s="19"/>
      <c r="D148" s="20"/>
      <c r="E148" s="20"/>
      <c r="F148" s="20"/>
      <c r="G148" s="21"/>
      <c r="H148" s="10" t="str">
        <f aca="false">IF(OR(D148="",G148=""),"",D148*G148)</f>
        <v/>
      </c>
      <c r="I148" s="18"/>
      <c r="J148" s="20"/>
      <c r="K148" s="22"/>
      <c r="L148" s="10" t="str">
        <f aca="false">IF(OR(J148="",H148=""),"",J148*G148-H148-N(K148))</f>
        <v/>
      </c>
      <c r="M148" s="14" t="str">
        <f aca="false">IF(L148="","",L148/H148)</f>
        <v/>
      </c>
      <c r="N148" s="23" t="str">
        <f aca="false">IF(OR(L148="",E148="",D148&lt;=E148),"",L148/((D148-E148)*G148))</f>
        <v/>
      </c>
      <c r="O148" s="15" t="str">
        <f aca="false">IF(OR(D148="",E148="",F148="",D148&lt;=E148),"",(F148-D148)/(D148-E148))</f>
        <v/>
      </c>
      <c r="P148" s="19"/>
      <c r="Q148" s="19"/>
      <c r="R148" s="19"/>
    </row>
    <row r="149" customFormat="false" ht="15" hidden="false" customHeight="false" outlineLevel="0" collapsed="false">
      <c r="A149" s="5" t="n">
        <v>145</v>
      </c>
      <c r="B149" s="18"/>
      <c r="C149" s="19"/>
      <c r="D149" s="20"/>
      <c r="E149" s="20"/>
      <c r="F149" s="20"/>
      <c r="G149" s="21"/>
      <c r="H149" s="10" t="str">
        <f aca="false">IF(OR(D149="",G149=""),"",D149*G149)</f>
        <v/>
      </c>
      <c r="I149" s="18"/>
      <c r="J149" s="20"/>
      <c r="K149" s="22"/>
      <c r="L149" s="10" t="str">
        <f aca="false">IF(OR(J149="",H149=""),"",J149*G149-H149-N(K149))</f>
        <v/>
      </c>
      <c r="M149" s="14" t="str">
        <f aca="false">IF(L149="","",L149/H149)</f>
        <v/>
      </c>
      <c r="N149" s="23" t="str">
        <f aca="false">IF(OR(L149="",E149="",D149&lt;=E149),"",L149/((D149-E149)*G149))</f>
        <v/>
      </c>
      <c r="O149" s="15" t="str">
        <f aca="false">IF(OR(D149="",E149="",F149="",D149&lt;=E149),"",(F149-D149)/(D149-E149))</f>
        <v/>
      </c>
      <c r="P149" s="19"/>
      <c r="Q149" s="19"/>
      <c r="R149" s="19"/>
    </row>
    <row r="150" customFormat="false" ht="15" hidden="false" customHeight="false" outlineLevel="0" collapsed="false">
      <c r="A150" s="5" t="n">
        <v>146</v>
      </c>
      <c r="B150" s="18"/>
      <c r="C150" s="19"/>
      <c r="D150" s="20"/>
      <c r="E150" s="20"/>
      <c r="F150" s="20"/>
      <c r="G150" s="21"/>
      <c r="H150" s="10" t="str">
        <f aca="false">IF(OR(D150="",G150=""),"",D150*G150)</f>
        <v/>
      </c>
      <c r="I150" s="18"/>
      <c r="J150" s="20"/>
      <c r="K150" s="22"/>
      <c r="L150" s="10" t="str">
        <f aca="false">IF(OR(J150="",H150=""),"",J150*G150-H150-N(K150))</f>
        <v/>
      </c>
      <c r="M150" s="14" t="str">
        <f aca="false">IF(L150="","",L150/H150)</f>
        <v/>
      </c>
      <c r="N150" s="23" t="str">
        <f aca="false">IF(OR(L150="",E150="",D150&lt;=E150),"",L150/((D150-E150)*G150))</f>
        <v/>
      </c>
      <c r="O150" s="15" t="str">
        <f aca="false">IF(OR(D150="",E150="",F150="",D150&lt;=E150),"",(F150-D150)/(D150-E150))</f>
        <v/>
      </c>
      <c r="P150" s="19"/>
      <c r="Q150" s="19"/>
      <c r="R150" s="19"/>
    </row>
    <row r="151" customFormat="false" ht="15" hidden="false" customHeight="false" outlineLevel="0" collapsed="false">
      <c r="A151" s="5" t="n">
        <v>147</v>
      </c>
      <c r="B151" s="18"/>
      <c r="C151" s="19"/>
      <c r="D151" s="20"/>
      <c r="E151" s="20"/>
      <c r="F151" s="20"/>
      <c r="G151" s="21"/>
      <c r="H151" s="10" t="str">
        <f aca="false">IF(OR(D151="",G151=""),"",D151*G151)</f>
        <v/>
      </c>
      <c r="I151" s="18"/>
      <c r="J151" s="20"/>
      <c r="K151" s="22"/>
      <c r="L151" s="10" t="str">
        <f aca="false">IF(OR(J151="",H151=""),"",J151*G151-H151-N(K151))</f>
        <v/>
      </c>
      <c r="M151" s="14" t="str">
        <f aca="false">IF(L151="","",L151/H151)</f>
        <v/>
      </c>
      <c r="N151" s="23" t="str">
        <f aca="false">IF(OR(L151="",E151="",D151&lt;=E151),"",L151/((D151-E151)*G151))</f>
        <v/>
      </c>
      <c r="O151" s="15" t="str">
        <f aca="false">IF(OR(D151="",E151="",F151="",D151&lt;=E151),"",(F151-D151)/(D151-E151))</f>
        <v/>
      </c>
      <c r="P151" s="19"/>
      <c r="Q151" s="19"/>
      <c r="R151" s="19"/>
    </row>
    <row r="152" customFormat="false" ht="15" hidden="false" customHeight="false" outlineLevel="0" collapsed="false">
      <c r="A152" s="5" t="n">
        <v>148</v>
      </c>
      <c r="B152" s="18"/>
      <c r="C152" s="19"/>
      <c r="D152" s="20"/>
      <c r="E152" s="20"/>
      <c r="F152" s="20"/>
      <c r="G152" s="21"/>
      <c r="H152" s="10" t="str">
        <f aca="false">IF(OR(D152="",G152=""),"",D152*G152)</f>
        <v/>
      </c>
      <c r="I152" s="18"/>
      <c r="J152" s="20"/>
      <c r="K152" s="22"/>
      <c r="L152" s="10" t="str">
        <f aca="false">IF(OR(J152="",H152=""),"",J152*G152-H152-N(K152))</f>
        <v/>
      </c>
      <c r="M152" s="14" t="str">
        <f aca="false">IF(L152="","",L152/H152)</f>
        <v/>
      </c>
      <c r="N152" s="23" t="str">
        <f aca="false">IF(OR(L152="",E152="",D152&lt;=E152),"",L152/((D152-E152)*G152))</f>
        <v/>
      </c>
      <c r="O152" s="15" t="str">
        <f aca="false">IF(OR(D152="",E152="",F152="",D152&lt;=E152),"",(F152-D152)/(D152-E152))</f>
        <v/>
      </c>
      <c r="P152" s="19"/>
      <c r="Q152" s="19"/>
      <c r="R152" s="19"/>
    </row>
    <row r="153" customFormat="false" ht="15" hidden="false" customHeight="false" outlineLevel="0" collapsed="false">
      <c r="A153" s="5" t="n">
        <v>149</v>
      </c>
      <c r="B153" s="18"/>
      <c r="C153" s="19"/>
      <c r="D153" s="20"/>
      <c r="E153" s="20"/>
      <c r="F153" s="20"/>
      <c r="G153" s="21"/>
      <c r="H153" s="10" t="str">
        <f aca="false">IF(OR(D153="",G153=""),"",D153*G153)</f>
        <v/>
      </c>
      <c r="I153" s="18"/>
      <c r="J153" s="20"/>
      <c r="K153" s="22"/>
      <c r="L153" s="10" t="str">
        <f aca="false">IF(OR(J153="",H153=""),"",J153*G153-H153-N(K153))</f>
        <v/>
      </c>
      <c r="M153" s="14" t="str">
        <f aca="false">IF(L153="","",L153/H153)</f>
        <v/>
      </c>
      <c r="N153" s="23" t="str">
        <f aca="false">IF(OR(L153="",E153="",D153&lt;=E153),"",L153/((D153-E153)*G153))</f>
        <v/>
      </c>
      <c r="O153" s="15" t="str">
        <f aca="false">IF(OR(D153="",E153="",F153="",D153&lt;=E153),"",(F153-D153)/(D153-E153))</f>
        <v/>
      </c>
      <c r="P153" s="19"/>
      <c r="Q153" s="19"/>
      <c r="R153" s="19"/>
    </row>
    <row r="154" customFormat="false" ht="15" hidden="false" customHeight="false" outlineLevel="0" collapsed="false">
      <c r="A154" s="5" t="n">
        <v>150</v>
      </c>
      <c r="B154" s="18"/>
      <c r="C154" s="19"/>
      <c r="D154" s="20"/>
      <c r="E154" s="20"/>
      <c r="F154" s="20"/>
      <c r="G154" s="21"/>
      <c r="H154" s="10" t="str">
        <f aca="false">IF(OR(D154="",G154=""),"",D154*G154)</f>
        <v/>
      </c>
      <c r="I154" s="18"/>
      <c r="J154" s="20"/>
      <c r="K154" s="22"/>
      <c r="L154" s="10" t="str">
        <f aca="false">IF(OR(J154="",H154=""),"",J154*G154-H154-N(K154))</f>
        <v/>
      </c>
      <c r="M154" s="14" t="str">
        <f aca="false">IF(L154="","",L154/H154)</f>
        <v/>
      </c>
      <c r="N154" s="23" t="str">
        <f aca="false">IF(OR(L154="",E154="",D154&lt;=E154),"",L154/((D154-E154)*G154))</f>
        <v/>
      </c>
      <c r="O154" s="15" t="str">
        <f aca="false">IF(OR(D154="",E154="",F154="",D154&lt;=E154),"",(F154-D154)/(D154-E154))</f>
        <v/>
      </c>
      <c r="P154" s="19"/>
      <c r="Q154" s="19"/>
      <c r="R154" s="19"/>
    </row>
    <row r="155" customFormat="false" ht="15" hidden="false" customHeight="false" outlineLevel="0" collapsed="false">
      <c r="A155" s="5" t="n">
        <v>151</v>
      </c>
      <c r="B155" s="18"/>
      <c r="C155" s="19"/>
      <c r="D155" s="20"/>
      <c r="E155" s="20"/>
      <c r="F155" s="20"/>
      <c r="G155" s="21"/>
      <c r="H155" s="10" t="str">
        <f aca="false">IF(OR(D155="",G155=""),"",D155*G155)</f>
        <v/>
      </c>
      <c r="I155" s="18"/>
      <c r="J155" s="20"/>
      <c r="K155" s="22"/>
      <c r="L155" s="10" t="str">
        <f aca="false">IF(OR(J155="",H155=""),"",J155*G155-H155-N(K155))</f>
        <v/>
      </c>
      <c r="M155" s="14" t="str">
        <f aca="false">IF(L155="","",L155/H155)</f>
        <v/>
      </c>
      <c r="N155" s="23" t="str">
        <f aca="false">IF(OR(L155="",E155="",D155&lt;=E155),"",L155/((D155-E155)*G155))</f>
        <v/>
      </c>
      <c r="O155" s="15" t="str">
        <f aca="false">IF(OR(D155="",E155="",F155="",D155&lt;=E155),"",(F155-D155)/(D155-E155))</f>
        <v/>
      </c>
      <c r="P155" s="19"/>
      <c r="Q155" s="19"/>
      <c r="R155" s="19"/>
    </row>
    <row r="156" customFormat="false" ht="15" hidden="false" customHeight="false" outlineLevel="0" collapsed="false">
      <c r="A156" s="5" t="n">
        <v>152</v>
      </c>
      <c r="B156" s="18"/>
      <c r="C156" s="19"/>
      <c r="D156" s="20"/>
      <c r="E156" s="20"/>
      <c r="F156" s="20"/>
      <c r="G156" s="21"/>
      <c r="H156" s="10" t="str">
        <f aca="false">IF(OR(D156="",G156=""),"",D156*G156)</f>
        <v/>
      </c>
      <c r="I156" s="18"/>
      <c r="J156" s="20"/>
      <c r="K156" s="22"/>
      <c r="L156" s="10" t="str">
        <f aca="false">IF(OR(J156="",H156=""),"",J156*G156-H156-N(K156))</f>
        <v/>
      </c>
      <c r="M156" s="14" t="str">
        <f aca="false">IF(L156="","",L156/H156)</f>
        <v/>
      </c>
      <c r="N156" s="23" t="str">
        <f aca="false">IF(OR(L156="",E156="",D156&lt;=E156),"",L156/((D156-E156)*G156))</f>
        <v/>
      </c>
      <c r="O156" s="15" t="str">
        <f aca="false">IF(OR(D156="",E156="",F156="",D156&lt;=E156),"",(F156-D156)/(D156-E156))</f>
        <v/>
      </c>
      <c r="P156" s="19"/>
      <c r="Q156" s="19"/>
      <c r="R156" s="19"/>
    </row>
    <row r="157" customFormat="false" ht="15" hidden="false" customHeight="false" outlineLevel="0" collapsed="false">
      <c r="A157" s="5" t="n">
        <v>153</v>
      </c>
      <c r="B157" s="18"/>
      <c r="C157" s="19"/>
      <c r="D157" s="20"/>
      <c r="E157" s="20"/>
      <c r="F157" s="20"/>
      <c r="G157" s="21"/>
      <c r="H157" s="10" t="str">
        <f aca="false">IF(OR(D157="",G157=""),"",D157*G157)</f>
        <v/>
      </c>
      <c r="I157" s="18"/>
      <c r="J157" s="20"/>
      <c r="K157" s="22"/>
      <c r="L157" s="10" t="str">
        <f aca="false">IF(OR(J157="",H157=""),"",J157*G157-H157-N(K157))</f>
        <v/>
      </c>
      <c r="M157" s="14" t="str">
        <f aca="false">IF(L157="","",L157/H157)</f>
        <v/>
      </c>
      <c r="N157" s="23" t="str">
        <f aca="false">IF(OR(L157="",E157="",D157&lt;=E157),"",L157/((D157-E157)*G157))</f>
        <v/>
      </c>
      <c r="O157" s="15" t="str">
        <f aca="false">IF(OR(D157="",E157="",F157="",D157&lt;=E157),"",(F157-D157)/(D157-E157))</f>
        <v/>
      </c>
      <c r="P157" s="19"/>
      <c r="Q157" s="19"/>
      <c r="R157" s="19"/>
    </row>
    <row r="158" customFormat="false" ht="15" hidden="false" customHeight="false" outlineLevel="0" collapsed="false">
      <c r="A158" s="5" t="n">
        <v>154</v>
      </c>
      <c r="B158" s="18"/>
      <c r="C158" s="19"/>
      <c r="D158" s="20"/>
      <c r="E158" s="20"/>
      <c r="F158" s="20"/>
      <c r="G158" s="21"/>
      <c r="H158" s="10" t="str">
        <f aca="false">IF(OR(D158="",G158=""),"",D158*G158)</f>
        <v/>
      </c>
      <c r="I158" s="18"/>
      <c r="J158" s="20"/>
      <c r="K158" s="22"/>
      <c r="L158" s="10" t="str">
        <f aca="false">IF(OR(J158="",H158=""),"",J158*G158-H158-N(K158))</f>
        <v/>
      </c>
      <c r="M158" s="14" t="str">
        <f aca="false">IF(L158="","",L158/H158)</f>
        <v/>
      </c>
      <c r="N158" s="23" t="str">
        <f aca="false">IF(OR(L158="",E158="",D158&lt;=E158),"",L158/((D158-E158)*G158))</f>
        <v/>
      </c>
      <c r="O158" s="15" t="str">
        <f aca="false">IF(OR(D158="",E158="",F158="",D158&lt;=E158),"",(F158-D158)/(D158-E158))</f>
        <v/>
      </c>
      <c r="P158" s="19"/>
      <c r="Q158" s="19"/>
      <c r="R158" s="19"/>
    </row>
    <row r="159" customFormat="false" ht="15" hidden="false" customHeight="false" outlineLevel="0" collapsed="false">
      <c r="A159" s="5" t="n">
        <v>155</v>
      </c>
      <c r="B159" s="18"/>
      <c r="C159" s="19"/>
      <c r="D159" s="20"/>
      <c r="E159" s="20"/>
      <c r="F159" s="20"/>
      <c r="G159" s="21"/>
      <c r="H159" s="10" t="str">
        <f aca="false">IF(OR(D159="",G159=""),"",D159*G159)</f>
        <v/>
      </c>
      <c r="I159" s="18"/>
      <c r="J159" s="20"/>
      <c r="K159" s="22"/>
      <c r="L159" s="10" t="str">
        <f aca="false">IF(OR(J159="",H159=""),"",J159*G159-H159-N(K159))</f>
        <v/>
      </c>
      <c r="M159" s="14" t="str">
        <f aca="false">IF(L159="","",L159/H159)</f>
        <v/>
      </c>
      <c r="N159" s="23" t="str">
        <f aca="false">IF(OR(L159="",E159="",D159&lt;=E159),"",L159/((D159-E159)*G159))</f>
        <v/>
      </c>
      <c r="O159" s="15" t="str">
        <f aca="false">IF(OR(D159="",E159="",F159="",D159&lt;=E159),"",(F159-D159)/(D159-E159))</f>
        <v/>
      </c>
      <c r="P159" s="19"/>
      <c r="Q159" s="19"/>
      <c r="R159" s="19"/>
    </row>
    <row r="160" customFormat="false" ht="15" hidden="false" customHeight="false" outlineLevel="0" collapsed="false">
      <c r="A160" s="5" t="n">
        <v>156</v>
      </c>
      <c r="B160" s="18"/>
      <c r="C160" s="19"/>
      <c r="D160" s="20"/>
      <c r="E160" s="20"/>
      <c r="F160" s="20"/>
      <c r="G160" s="21"/>
      <c r="H160" s="10" t="str">
        <f aca="false">IF(OR(D160="",G160=""),"",D160*G160)</f>
        <v/>
      </c>
      <c r="I160" s="18"/>
      <c r="J160" s="20"/>
      <c r="K160" s="22"/>
      <c r="L160" s="10" t="str">
        <f aca="false">IF(OR(J160="",H160=""),"",J160*G160-H160-N(K160))</f>
        <v/>
      </c>
      <c r="M160" s="14" t="str">
        <f aca="false">IF(L160="","",L160/H160)</f>
        <v/>
      </c>
      <c r="N160" s="23" t="str">
        <f aca="false">IF(OR(L160="",E160="",D160&lt;=E160),"",L160/((D160-E160)*G160))</f>
        <v/>
      </c>
      <c r="O160" s="15" t="str">
        <f aca="false">IF(OR(D160="",E160="",F160="",D160&lt;=E160),"",(F160-D160)/(D160-E160))</f>
        <v/>
      </c>
      <c r="P160" s="19"/>
      <c r="Q160" s="19"/>
      <c r="R160" s="19"/>
    </row>
    <row r="161" customFormat="false" ht="15" hidden="false" customHeight="false" outlineLevel="0" collapsed="false">
      <c r="A161" s="5" t="n">
        <v>157</v>
      </c>
      <c r="B161" s="18"/>
      <c r="C161" s="19"/>
      <c r="D161" s="20"/>
      <c r="E161" s="20"/>
      <c r="F161" s="20"/>
      <c r="G161" s="21"/>
      <c r="H161" s="10" t="str">
        <f aca="false">IF(OR(D161="",G161=""),"",D161*G161)</f>
        <v/>
      </c>
      <c r="I161" s="18"/>
      <c r="J161" s="20"/>
      <c r="K161" s="22"/>
      <c r="L161" s="10" t="str">
        <f aca="false">IF(OR(J161="",H161=""),"",J161*G161-H161-N(K161))</f>
        <v/>
      </c>
      <c r="M161" s="14" t="str">
        <f aca="false">IF(L161="","",L161/H161)</f>
        <v/>
      </c>
      <c r="N161" s="23" t="str">
        <f aca="false">IF(OR(L161="",E161="",D161&lt;=E161),"",L161/((D161-E161)*G161))</f>
        <v/>
      </c>
      <c r="O161" s="15" t="str">
        <f aca="false">IF(OR(D161="",E161="",F161="",D161&lt;=E161),"",(F161-D161)/(D161-E161))</f>
        <v/>
      </c>
      <c r="P161" s="19"/>
      <c r="Q161" s="19"/>
      <c r="R161" s="19"/>
    </row>
    <row r="162" customFormat="false" ht="15" hidden="false" customHeight="false" outlineLevel="0" collapsed="false">
      <c r="A162" s="5" t="n">
        <v>158</v>
      </c>
      <c r="B162" s="18"/>
      <c r="C162" s="19"/>
      <c r="D162" s="20"/>
      <c r="E162" s="20"/>
      <c r="F162" s="20"/>
      <c r="G162" s="21"/>
      <c r="H162" s="10" t="str">
        <f aca="false">IF(OR(D162="",G162=""),"",D162*G162)</f>
        <v/>
      </c>
      <c r="I162" s="18"/>
      <c r="J162" s="20"/>
      <c r="K162" s="22"/>
      <c r="L162" s="10" t="str">
        <f aca="false">IF(OR(J162="",H162=""),"",J162*G162-H162-N(K162))</f>
        <v/>
      </c>
      <c r="M162" s="14" t="str">
        <f aca="false">IF(L162="","",L162/H162)</f>
        <v/>
      </c>
      <c r="N162" s="23" t="str">
        <f aca="false">IF(OR(L162="",E162="",D162&lt;=E162),"",L162/((D162-E162)*G162))</f>
        <v/>
      </c>
      <c r="O162" s="15" t="str">
        <f aca="false">IF(OR(D162="",E162="",F162="",D162&lt;=E162),"",(F162-D162)/(D162-E162))</f>
        <v/>
      </c>
      <c r="P162" s="19"/>
      <c r="Q162" s="19"/>
      <c r="R162" s="19"/>
    </row>
    <row r="163" customFormat="false" ht="15" hidden="false" customHeight="false" outlineLevel="0" collapsed="false">
      <c r="A163" s="5" t="n">
        <v>159</v>
      </c>
      <c r="B163" s="18"/>
      <c r="C163" s="19"/>
      <c r="D163" s="20"/>
      <c r="E163" s="20"/>
      <c r="F163" s="20"/>
      <c r="G163" s="21"/>
      <c r="H163" s="10" t="str">
        <f aca="false">IF(OR(D163="",G163=""),"",D163*G163)</f>
        <v/>
      </c>
      <c r="I163" s="18"/>
      <c r="J163" s="20"/>
      <c r="K163" s="22"/>
      <c r="L163" s="10" t="str">
        <f aca="false">IF(OR(J163="",H163=""),"",J163*G163-H163-N(K163))</f>
        <v/>
      </c>
      <c r="M163" s="14" t="str">
        <f aca="false">IF(L163="","",L163/H163)</f>
        <v/>
      </c>
      <c r="N163" s="23" t="str">
        <f aca="false">IF(OR(L163="",E163="",D163&lt;=E163),"",L163/((D163-E163)*G163))</f>
        <v/>
      </c>
      <c r="O163" s="15" t="str">
        <f aca="false">IF(OR(D163="",E163="",F163="",D163&lt;=E163),"",(F163-D163)/(D163-E163))</f>
        <v/>
      </c>
      <c r="P163" s="19"/>
      <c r="Q163" s="19"/>
      <c r="R163" s="19"/>
    </row>
    <row r="164" customFormat="false" ht="15" hidden="false" customHeight="false" outlineLevel="0" collapsed="false">
      <c r="A164" s="5" t="n">
        <v>160</v>
      </c>
      <c r="B164" s="18"/>
      <c r="C164" s="19"/>
      <c r="D164" s="20"/>
      <c r="E164" s="20"/>
      <c r="F164" s="20"/>
      <c r="G164" s="21"/>
      <c r="H164" s="10" t="str">
        <f aca="false">IF(OR(D164="",G164=""),"",D164*G164)</f>
        <v/>
      </c>
      <c r="I164" s="18"/>
      <c r="J164" s="20"/>
      <c r="K164" s="22"/>
      <c r="L164" s="10" t="str">
        <f aca="false">IF(OR(J164="",H164=""),"",J164*G164-H164-N(K164))</f>
        <v/>
      </c>
      <c r="M164" s="14" t="str">
        <f aca="false">IF(L164="","",L164/H164)</f>
        <v/>
      </c>
      <c r="N164" s="23" t="str">
        <f aca="false">IF(OR(L164="",E164="",D164&lt;=E164),"",L164/((D164-E164)*G164))</f>
        <v/>
      </c>
      <c r="O164" s="15" t="str">
        <f aca="false">IF(OR(D164="",E164="",F164="",D164&lt;=E164),"",(F164-D164)/(D164-E164))</f>
        <v/>
      </c>
      <c r="P164" s="19"/>
      <c r="Q164" s="19"/>
      <c r="R164" s="19"/>
    </row>
    <row r="165" customFormat="false" ht="15" hidden="false" customHeight="false" outlineLevel="0" collapsed="false">
      <c r="A165" s="5" t="n">
        <v>161</v>
      </c>
      <c r="B165" s="18"/>
      <c r="C165" s="19"/>
      <c r="D165" s="20"/>
      <c r="E165" s="20"/>
      <c r="F165" s="20"/>
      <c r="G165" s="21"/>
      <c r="H165" s="10" t="str">
        <f aca="false">IF(OR(D165="",G165=""),"",D165*G165)</f>
        <v/>
      </c>
      <c r="I165" s="18"/>
      <c r="J165" s="20"/>
      <c r="K165" s="22"/>
      <c r="L165" s="10" t="str">
        <f aca="false">IF(OR(J165="",H165=""),"",J165*G165-H165-N(K165))</f>
        <v/>
      </c>
      <c r="M165" s="14" t="str">
        <f aca="false">IF(L165="","",L165/H165)</f>
        <v/>
      </c>
      <c r="N165" s="23" t="str">
        <f aca="false">IF(OR(L165="",E165="",D165&lt;=E165),"",L165/((D165-E165)*G165))</f>
        <v/>
      </c>
      <c r="O165" s="15" t="str">
        <f aca="false">IF(OR(D165="",E165="",F165="",D165&lt;=E165),"",(F165-D165)/(D165-E165))</f>
        <v/>
      </c>
      <c r="P165" s="19"/>
      <c r="Q165" s="19"/>
      <c r="R165" s="19"/>
    </row>
    <row r="166" customFormat="false" ht="15" hidden="false" customHeight="false" outlineLevel="0" collapsed="false">
      <c r="A166" s="5" t="n">
        <v>162</v>
      </c>
      <c r="B166" s="18"/>
      <c r="C166" s="19"/>
      <c r="D166" s="20"/>
      <c r="E166" s="20"/>
      <c r="F166" s="20"/>
      <c r="G166" s="21"/>
      <c r="H166" s="10" t="str">
        <f aca="false">IF(OR(D166="",G166=""),"",D166*G166)</f>
        <v/>
      </c>
      <c r="I166" s="18"/>
      <c r="J166" s="20"/>
      <c r="K166" s="22"/>
      <c r="L166" s="10" t="str">
        <f aca="false">IF(OR(J166="",H166=""),"",J166*G166-H166-N(K166))</f>
        <v/>
      </c>
      <c r="M166" s="14" t="str">
        <f aca="false">IF(L166="","",L166/H166)</f>
        <v/>
      </c>
      <c r="N166" s="23" t="str">
        <f aca="false">IF(OR(L166="",E166="",D166&lt;=E166),"",L166/((D166-E166)*G166))</f>
        <v/>
      </c>
      <c r="O166" s="15" t="str">
        <f aca="false">IF(OR(D166="",E166="",F166="",D166&lt;=E166),"",(F166-D166)/(D166-E166))</f>
        <v/>
      </c>
      <c r="P166" s="19"/>
      <c r="Q166" s="19"/>
      <c r="R166" s="19"/>
    </row>
    <row r="167" customFormat="false" ht="15" hidden="false" customHeight="false" outlineLevel="0" collapsed="false">
      <c r="A167" s="5" t="n">
        <v>163</v>
      </c>
      <c r="B167" s="18"/>
      <c r="C167" s="19"/>
      <c r="D167" s="20"/>
      <c r="E167" s="20"/>
      <c r="F167" s="20"/>
      <c r="G167" s="21"/>
      <c r="H167" s="10" t="str">
        <f aca="false">IF(OR(D167="",G167=""),"",D167*G167)</f>
        <v/>
      </c>
      <c r="I167" s="18"/>
      <c r="J167" s="20"/>
      <c r="K167" s="22"/>
      <c r="L167" s="10" t="str">
        <f aca="false">IF(OR(J167="",H167=""),"",J167*G167-H167-N(K167))</f>
        <v/>
      </c>
      <c r="M167" s="14" t="str">
        <f aca="false">IF(L167="","",L167/H167)</f>
        <v/>
      </c>
      <c r="N167" s="23" t="str">
        <f aca="false">IF(OR(L167="",E167="",D167&lt;=E167),"",L167/((D167-E167)*G167))</f>
        <v/>
      </c>
      <c r="O167" s="15" t="str">
        <f aca="false">IF(OR(D167="",E167="",F167="",D167&lt;=E167),"",(F167-D167)/(D167-E167))</f>
        <v/>
      </c>
      <c r="P167" s="19"/>
      <c r="Q167" s="19"/>
      <c r="R167" s="19"/>
    </row>
    <row r="168" customFormat="false" ht="15" hidden="false" customHeight="false" outlineLevel="0" collapsed="false">
      <c r="A168" s="5" t="n">
        <v>164</v>
      </c>
      <c r="B168" s="18"/>
      <c r="C168" s="19"/>
      <c r="D168" s="20"/>
      <c r="E168" s="20"/>
      <c r="F168" s="20"/>
      <c r="G168" s="21"/>
      <c r="H168" s="10" t="str">
        <f aca="false">IF(OR(D168="",G168=""),"",D168*G168)</f>
        <v/>
      </c>
      <c r="I168" s="18"/>
      <c r="J168" s="20"/>
      <c r="K168" s="22"/>
      <c r="L168" s="10" t="str">
        <f aca="false">IF(OR(J168="",H168=""),"",J168*G168-H168-N(K168))</f>
        <v/>
      </c>
      <c r="M168" s="14" t="str">
        <f aca="false">IF(L168="","",L168/H168)</f>
        <v/>
      </c>
      <c r="N168" s="23" t="str">
        <f aca="false">IF(OR(L168="",E168="",D168&lt;=E168),"",L168/((D168-E168)*G168))</f>
        <v/>
      </c>
      <c r="O168" s="15" t="str">
        <f aca="false">IF(OR(D168="",E168="",F168="",D168&lt;=E168),"",(F168-D168)/(D168-E168))</f>
        <v/>
      </c>
      <c r="P168" s="19"/>
      <c r="Q168" s="19"/>
      <c r="R168" s="19"/>
    </row>
    <row r="169" customFormat="false" ht="15" hidden="false" customHeight="false" outlineLevel="0" collapsed="false">
      <c r="A169" s="5" t="n">
        <v>165</v>
      </c>
      <c r="B169" s="18"/>
      <c r="C169" s="19"/>
      <c r="D169" s="20"/>
      <c r="E169" s="20"/>
      <c r="F169" s="20"/>
      <c r="G169" s="21"/>
      <c r="H169" s="10" t="str">
        <f aca="false">IF(OR(D169="",G169=""),"",D169*G169)</f>
        <v/>
      </c>
      <c r="I169" s="18"/>
      <c r="J169" s="20"/>
      <c r="K169" s="22"/>
      <c r="L169" s="10" t="str">
        <f aca="false">IF(OR(J169="",H169=""),"",J169*G169-H169-N(K169))</f>
        <v/>
      </c>
      <c r="M169" s="14" t="str">
        <f aca="false">IF(L169="","",L169/H169)</f>
        <v/>
      </c>
      <c r="N169" s="23" t="str">
        <f aca="false">IF(OR(L169="",E169="",D169&lt;=E169),"",L169/((D169-E169)*G169))</f>
        <v/>
      </c>
      <c r="O169" s="15" t="str">
        <f aca="false">IF(OR(D169="",E169="",F169="",D169&lt;=E169),"",(F169-D169)/(D169-E169))</f>
        <v/>
      </c>
      <c r="P169" s="19"/>
      <c r="Q169" s="19"/>
      <c r="R169" s="19"/>
    </row>
    <row r="170" customFormat="false" ht="15" hidden="false" customHeight="false" outlineLevel="0" collapsed="false">
      <c r="A170" s="5" t="n">
        <v>166</v>
      </c>
      <c r="B170" s="18"/>
      <c r="C170" s="19"/>
      <c r="D170" s="20"/>
      <c r="E170" s="20"/>
      <c r="F170" s="20"/>
      <c r="G170" s="21"/>
      <c r="H170" s="10" t="str">
        <f aca="false">IF(OR(D170="",G170=""),"",D170*G170)</f>
        <v/>
      </c>
      <c r="I170" s="18"/>
      <c r="J170" s="20"/>
      <c r="K170" s="22"/>
      <c r="L170" s="10" t="str">
        <f aca="false">IF(OR(J170="",H170=""),"",J170*G170-H170-N(K170))</f>
        <v/>
      </c>
      <c r="M170" s="14" t="str">
        <f aca="false">IF(L170="","",L170/H170)</f>
        <v/>
      </c>
      <c r="N170" s="23" t="str">
        <f aca="false">IF(OR(L170="",E170="",D170&lt;=E170),"",L170/((D170-E170)*G170))</f>
        <v/>
      </c>
      <c r="O170" s="15" t="str">
        <f aca="false">IF(OR(D170="",E170="",F170="",D170&lt;=E170),"",(F170-D170)/(D170-E170))</f>
        <v/>
      </c>
      <c r="P170" s="19"/>
      <c r="Q170" s="19"/>
      <c r="R170" s="19"/>
    </row>
    <row r="171" customFormat="false" ht="15" hidden="false" customHeight="false" outlineLevel="0" collapsed="false">
      <c r="A171" s="5" t="n">
        <v>167</v>
      </c>
      <c r="B171" s="18"/>
      <c r="C171" s="19"/>
      <c r="D171" s="20"/>
      <c r="E171" s="20"/>
      <c r="F171" s="20"/>
      <c r="G171" s="21"/>
      <c r="H171" s="10" t="str">
        <f aca="false">IF(OR(D171="",G171=""),"",D171*G171)</f>
        <v/>
      </c>
      <c r="I171" s="18"/>
      <c r="J171" s="20"/>
      <c r="K171" s="22"/>
      <c r="L171" s="10" t="str">
        <f aca="false">IF(OR(J171="",H171=""),"",J171*G171-H171-N(K171))</f>
        <v/>
      </c>
      <c r="M171" s="14" t="str">
        <f aca="false">IF(L171="","",L171/H171)</f>
        <v/>
      </c>
      <c r="N171" s="23" t="str">
        <f aca="false">IF(OR(L171="",E171="",D171&lt;=E171),"",L171/((D171-E171)*G171))</f>
        <v/>
      </c>
      <c r="O171" s="15" t="str">
        <f aca="false">IF(OR(D171="",E171="",F171="",D171&lt;=E171),"",(F171-D171)/(D171-E171))</f>
        <v/>
      </c>
      <c r="P171" s="19"/>
      <c r="Q171" s="19"/>
      <c r="R171" s="19"/>
    </row>
    <row r="172" customFormat="false" ht="15" hidden="false" customHeight="false" outlineLevel="0" collapsed="false">
      <c r="A172" s="5" t="n">
        <v>168</v>
      </c>
      <c r="B172" s="18"/>
      <c r="C172" s="19"/>
      <c r="D172" s="20"/>
      <c r="E172" s="20"/>
      <c r="F172" s="20"/>
      <c r="G172" s="21"/>
      <c r="H172" s="10" t="str">
        <f aca="false">IF(OR(D172="",G172=""),"",D172*G172)</f>
        <v/>
      </c>
      <c r="I172" s="18"/>
      <c r="J172" s="20"/>
      <c r="K172" s="22"/>
      <c r="L172" s="10" t="str">
        <f aca="false">IF(OR(J172="",H172=""),"",J172*G172-H172-N(K172))</f>
        <v/>
      </c>
      <c r="M172" s="14" t="str">
        <f aca="false">IF(L172="","",L172/H172)</f>
        <v/>
      </c>
      <c r="N172" s="23" t="str">
        <f aca="false">IF(OR(L172="",E172="",D172&lt;=E172),"",L172/((D172-E172)*G172))</f>
        <v/>
      </c>
      <c r="O172" s="15" t="str">
        <f aca="false">IF(OR(D172="",E172="",F172="",D172&lt;=E172),"",(F172-D172)/(D172-E172))</f>
        <v/>
      </c>
      <c r="P172" s="19"/>
      <c r="Q172" s="19"/>
      <c r="R172" s="19"/>
    </row>
    <row r="173" customFormat="false" ht="15" hidden="false" customHeight="false" outlineLevel="0" collapsed="false">
      <c r="A173" s="5" t="n">
        <v>169</v>
      </c>
      <c r="B173" s="18"/>
      <c r="C173" s="19"/>
      <c r="D173" s="20"/>
      <c r="E173" s="20"/>
      <c r="F173" s="20"/>
      <c r="G173" s="21"/>
      <c r="H173" s="10" t="str">
        <f aca="false">IF(OR(D173="",G173=""),"",D173*G173)</f>
        <v/>
      </c>
      <c r="I173" s="18"/>
      <c r="J173" s="20"/>
      <c r="K173" s="22"/>
      <c r="L173" s="10" t="str">
        <f aca="false">IF(OR(J173="",H173=""),"",J173*G173-H173-N(K173))</f>
        <v/>
      </c>
      <c r="M173" s="14" t="str">
        <f aca="false">IF(L173="","",L173/H173)</f>
        <v/>
      </c>
      <c r="N173" s="23" t="str">
        <f aca="false">IF(OR(L173="",E173="",D173&lt;=E173),"",L173/((D173-E173)*G173))</f>
        <v/>
      </c>
      <c r="O173" s="15" t="str">
        <f aca="false">IF(OR(D173="",E173="",F173="",D173&lt;=E173),"",(F173-D173)/(D173-E173))</f>
        <v/>
      </c>
      <c r="P173" s="19"/>
      <c r="Q173" s="19"/>
      <c r="R173" s="19"/>
    </row>
    <row r="174" customFormat="false" ht="15" hidden="false" customHeight="false" outlineLevel="0" collapsed="false">
      <c r="A174" s="5" t="n">
        <v>170</v>
      </c>
      <c r="B174" s="18"/>
      <c r="C174" s="19"/>
      <c r="D174" s="20"/>
      <c r="E174" s="20"/>
      <c r="F174" s="20"/>
      <c r="G174" s="21"/>
      <c r="H174" s="10" t="str">
        <f aca="false">IF(OR(D174="",G174=""),"",D174*G174)</f>
        <v/>
      </c>
      <c r="I174" s="18"/>
      <c r="J174" s="20"/>
      <c r="K174" s="22"/>
      <c r="L174" s="10" t="str">
        <f aca="false">IF(OR(J174="",H174=""),"",J174*G174-H174-N(K174))</f>
        <v/>
      </c>
      <c r="M174" s="14" t="str">
        <f aca="false">IF(L174="","",L174/H174)</f>
        <v/>
      </c>
      <c r="N174" s="23" t="str">
        <f aca="false">IF(OR(L174="",E174="",D174&lt;=E174),"",L174/((D174-E174)*G174))</f>
        <v/>
      </c>
      <c r="O174" s="15" t="str">
        <f aca="false">IF(OR(D174="",E174="",F174="",D174&lt;=E174),"",(F174-D174)/(D174-E174))</f>
        <v/>
      </c>
      <c r="P174" s="19"/>
      <c r="Q174" s="19"/>
      <c r="R174" s="19"/>
    </row>
    <row r="175" customFormat="false" ht="15" hidden="false" customHeight="false" outlineLevel="0" collapsed="false">
      <c r="A175" s="5" t="n">
        <v>171</v>
      </c>
      <c r="B175" s="18"/>
      <c r="C175" s="19"/>
      <c r="D175" s="20"/>
      <c r="E175" s="20"/>
      <c r="F175" s="20"/>
      <c r="G175" s="21"/>
      <c r="H175" s="10" t="str">
        <f aca="false">IF(OR(D175="",G175=""),"",D175*G175)</f>
        <v/>
      </c>
      <c r="I175" s="18"/>
      <c r="J175" s="20"/>
      <c r="K175" s="22"/>
      <c r="L175" s="10" t="str">
        <f aca="false">IF(OR(J175="",H175=""),"",J175*G175-H175-N(K175))</f>
        <v/>
      </c>
      <c r="M175" s="14" t="str">
        <f aca="false">IF(L175="","",L175/H175)</f>
        <v/>
      </c>
      <c r="N175" s="23" t="str">
        <f aca="false">IF(OR(L175="",E175="",D175&lt;=E175),"",L175/((D175-E175)*G175))</f>
        <v/>
      </c>
      <c r="O175" s="15" t="str">
        <f aca="false">IF(OR(D175="",E175="",F175="",D175&lt;=E175),"",(F175-D175)/(D175-E175))</f>
        <v/>
      </c>
      <c r="P175" s="19"/>
      <c r="Q175" s="19"/>
      <c r="R175" s="19"/>
    </row>
    <row r="176" customFormat="false" ht="15" hidden="false" customHeight="false" outlineLevel="0" collapsed="false">
      <c r="A176" s="5" t="n">
        <v>172</v>
      </c>
      <c r="B176" s="18"/>
      <c r="C176" s="19"/>
      <c r="D176" s="20"/>
      <c r="E176" s="20"/>
      <c r="F176" s="20"/>
      <c r="G176" s="21"/>
      <c r="H176" s="10" t="str">
        <f aca="false">IF(OR(D176="",G176=""),"",D176*G176)</f>
        <v/>
      </c>
      <c r="I176" s="18"/>
      <c r="J176" s="20"/>
      <c r="K176" s="22"/>
      <c r="L176" s="10" t="str">
        <f aca="false">IF(OR(J176="",H176=""),"",J176*G176-H176-N(K176))</f>
        <v/>
      </c>
      <c r="M176" s="14" t="str">
        <f aca="false">IF(L176="","",L176/H176)</f>
        <v/>
      </c>
      <c r="N176" s="23" t="str">
        <f aca="false">IF(OR(L176="",E176="",D176&lt;=E176),"",L176/((D176-E176)*G176))</f>
        <v/>
      </c>
      <c r="O176" s="15" t="str">
        <f aca="false">IF(OR(D176="",E176="",F176="",D176&lt;=E176),"",(F176-D176)/(D176-E176))</f>
        <v/>
      </c>
      <c r="P176" s="19"/>
      <c r="Q176" s="19"/>
      <c r="R176" s="19"/>
    </row>
    <row r="177" customFormat="false" ht="15" hidden="false" customHeight="false" outlineLevel="0" collapsed="false">
      <c r="A177" s="5" t="n">
        <v>173</v>
      </c>
      <c r="B177" s="18"/>
      <c r="C177" s="19"/>
      <c r="D177" s="20"/>
      <c r="E177" s="20"/>
      <c r="F177" s="20"/>
      <c r="G177" s="21"/>
      <c r="H177" s="10" t="str">
        <f aca="false">IF(OR(D177="",G177=""),"",D177*G177)</f>
        <v/>
      </c>
      <c r="I177" s="18"/>
      <c r="J177" s="20"/>
      <c r="K177" s="22"/>
      <c r="L177" s="10" t="str">
        <f aca="false">IF(OR(J177="",H177=""),"",J177*G177-H177-N(K177))</f>
        <v/>
      </c>
      <c r="M177" s="14" t="str">
        <f aca="false">IF(L177="","",L177/H177)</f>
        <v/>
      </c>
      <c r="N177" s="23" t="str">
        <f aca="false">IF(OR(L177="",E177="",D177&lt;=E177),"",L177/((D177-E177)*G177))</f>
        <v/>
      </c>
      <c r="O177" s="15" t="str">
        <f aca="false">IF(OR(D177="",E177="",F177="",D177&lt;=E177),"",(F177-D177)/(D177-E177))</f>
        <v/>
      </c>
      <c r="P177" s="19"/>
      <c r="Q177" s="19"/>
      <c r="R177" s="19"/>
    </row>
    <row r="178" customFormat="false" ht="15" hidden="false" customHeight="false" outlineLevel="0" collapsed="false">
      <c r="A178" s="5" t="n">
        <v>174</v>
      </c>
      <c r="B178" s="18"/>
      <c r="C178" s="19"/>
      <c r="D178" s="20"/>
      <c r="E178" s="20"/>
      <c r="F178" s="20"/>
      <c r="G178" s="21"/>
      <c r="H178" s="10" t="str">
        <f aca="false">IF(OR(D178="",G178=""),"",D178*G178)</f>
        <v/>
      </c>
      <c r="I178" s="18"/>
      <c r="J178" s="20"/>
      <c r="K178" s="22"/>
      <c r="L178" s="10" t="str">
        <f aca="false">IF(OR(J178="",H178=""),"",J178*G178-H178-N(K178))</f>
        <v/>
      </c>
      <c r="M178" s="14" t="str">
        <f aca="false">IF(L178="","",L178/H178)</f>
        <v/>
      </c>
      <c r="N178" s="23" t="str">
        <f aca="false">IF(OR(L178="",E178="",D178&lt;=E178),"",L178/((D178-E178)*G178))</f>
        <v/>
      </c>
      <c r="O178" s="15" t="str">
        <f aca="false">IF(OR(D178="",E178="",F178="",D178&lt;=E178),"",(F178-D178)/(D178-E178))</f>
        <v/>
      </c>
      <c r="P178" s="19"/>
      <c r="Q178" s="19"/>
      <c r="R178" s="19"/>
    </row>
    <row r="179" customFormat="false" ht="15" hidden="false" customHeight="false" outlineLevel="0" collapsed="false">
      <c r="A179" s="5" t="n">
        <v>175</v>
      </c>
      <c r="B179" s="18"/>
      <c r="C179" s="19"/>
      <c r="D179" s="20"/>
      <c r="E179" s="20"/>
      <c r="F179" s="20"/>
      <c r="G179" s="21"/>
      <c r="H179" s="10" t="str">
        <f aca="false">IF(OR(D179="",G179=""),"",D179*G179)</f>
        <v/>
      </c>
      <c r="I179" s="18"/>
      <c r="J179" s="20"/>
      <c r="K179" s="22"/>
      <c r="L179" s="10" t="str">
        <f aca="false">IF(OR(J179="",H179=""),"",J179*G179-H179-N(K179))</f>
        <v/>
      </c>
      <c r="M179" s="14" t="str">
        <f aca="false">IF(L179="","",L179/H179)</f>
        <v/>
      </c>
      <c r="N179" s="23" t="str">
        <f aca="false">IF(OR(L179="",E179="",D179&lt;=E179),"",L179/((D179-E179)*G179))</f>
        <v/>
      </c>
      <c r="O179" s="15" t="str">
        <f aca="false">IF(OR(D179="",E179="",F179="",D179&lt;=E179),"",(F179-D179)/(D179-E179))</f>
        <v/>
      </c>
      <c r="P179" s="19"/>
      <c r="Q179" s="19"/>
      <c r="R179" s="19"/>
    </row>
    <row r="180" customFormat="false" ht="15" hidden="false" customHeight="false" outlineLevel="0" collapsed="false">
      <c r="A180" s="5" t="n">
        <v>176</v>
      </c>
      <c r="B180" s="18"/>
      <c r="C180" s="19"/>
      <c r="D180" s="20"/>
      <c r="E180" s="20"/>
      <c r="F180" s="20"/>
      <c r="G180" s="21"/>
      <c r="H180" s="10" t="str">
        <f aca="false">IF(OR(D180="",G180=""),"",D180*G180)</f>
        <v/>
      </c>
      <c r="I180" s="18"/>
      <c r="J180" s="20"/>
      <c r="K180" s="22"/>
      <c r="L180" s="10" t="str">
        <f aca="false">IF(OR(J180="",H180=""),"",J180*G180-H180-N(K180))</f>
        <v/>
      </c>
      <c r="M180" s="14" t="str">
        <f aca="false">IF(L180="","",L180/H180)</f>
        <v/>
      </c>
      <c r="N180" s="23" t="str">
        <f aca="false">IF(OR(L180="",E180="",D180&lt;=E180),"",L180/((D180-E180)*G180))</f>
        <v/>
      </c>
      <c r="O180" s="15" t="str">
        <f aca="false">IF(OR(D180="",E180="",F180="",D180&lt;=E180),"",(F180-D180)/(D180-E180))</f>
        <v/>
      </c>
      <c r="P180" s="19"/>
      <c r="Q180" s="19"/>
      <c r="R180" s="19"/>
    </row>
    <row r="181" customFormat="false" ht="15" hidden="false" customHeight="false" outlineLevel="0" collapsed="false">
      <c r="A181" s="5" t="n">
        <v>177</v>
      </c>
      <c r="B181" s="18"/>
      <c r="C181" s="19"/>
      <c r="D181" s="20"/>
      <c r="E181" s="20"/>
      <c r="F181" s="20"/>
      <c r="G181" s="21"/>
      <c r="H181" s="10" t="str">
        <f aca="false">IF(OR(D181="",G181=""),"",D181*G181)</f>
        <v/>
      </c>
      <c r="I181" s="18"/>
      <c r="J181" s="20"/>
      <c r="K181" s="22"/>
      <c r="L181" s="10" t="str">
        <f aca="false">IF(OR(J181="",H181=""),"",J181*G181-H181-N(K181))</f>
        <v/>
      </c>
      <c r="M181" s="14" t="str">
        <f aca="false">IF(L181="","",L181/H181)</f>
        <v/>
      </c>
      <c r="N181" s="23" t="str">
        <f aca="false">IF(OR(L181="",E181="",D181&lt;=E181),"",L181/((D181-E181)*G181))</f>
        <v/>
      </c>
      <c r="O181" s="15" t="str">
        <f aca="false">IF(OR(D181="",E181="",F181="",D181&lt;=E181),"",(F181-D181)/(D181-E181))</f>
        <v/>
      </c>
      <c r="P181" s="19"/>
      <c r="Q181" s="19"/>
      <c r="R181" s="19"/>
    </row>
    <row r="182" customFormat="false" ht="15" hidden="false" customHeight="false" outlineLevel="0" collapsed="false">
      <c r="A182" s="5" t="n">
        <v>178</v>
      </c>
      <c r="B182" s="18"/>
      <c r="C182" s="19"/>
      <c r="D182" s="20"/>
      <c r="E182" s="20"/>
      <c r="F182" s="20"/>
      <c r="G182" s="21"/>
      <c r="H182" s="10" t="str">
        <f aca="false">IF(OR(D182="",G182=""),"",D182*G182)</f>
        <v/>
      </c>
      <c r="I182" s="18"/>
      <c r="J182" s="20"/>
      <c r="K182" s="22"/>
      <c r="L182" s="10" t="str">
        <f aca="false">IF(OR(J182="",H182=""),"",J182*G182-H182-N(K182))</f>
        <v/>
      </c>
      <c r="M182" s="14" t="str">
        <f aca="false">IF(L182="","",L182/H182)</f>
        <v/>
      </c>
      <c r="N182" s="23" t="str">
        <f aca="false">IF(OR(L182="",E182="",D182&lt;=E182),"",L182/((D182-E182)*G182))</f>
        <v/>
      </c>
      <c r="O182" s="15" t="str">
        <f aca="false">IF(OR(D182="",E182="",F182="",D182&lt;=E182),"",(F182-D182)/(D182-E182))</f>
        <v/>
      </c>
      <c r="P182" s="19"/>
      <c r="Q182" s="19"/>
      <c r="R182" s="19"/>
    </row>
    <row r="183" customFormat="false" ht="15" hidden="false" customHeight="false" outlineLevel="0" collapsed="false">
      <c r="A183" s="5" t="n">
        <v>179</v>
      </c>
      <c r="B183" s="18"/>
      <c r="C183" s="19"/>
      <c r="D183" s="20"/>
      <c r="E183" s="20"/>
      <c r="F183" s="20"/>
      <c r="G183" s="21"/>
      <c r="H183" s="10" t="str">
        <f aca="false">IF(OR(D183="",G183=""),"",D183*G183)</f>
        <v/>
      </c>
      <c r="I183" s="18"/>
      <c r="J183" s="20"/>
      <c r="K183" s="22"/>
      <c r="L183" s="10" t="str">
        <f aca="false">IF(OR(J183="",H183=""),"",J183*G183-H183-N(K183))</f>
        <v/>
      </c>
      <c r="M183" s="14" t="str">
        <f aca="false">IF(L183="","",L183/H183)</f>
        <v/>
      </c>
      <c r="N183" s="23" t="str">
        <f aca="false">IF(OR(L183="",E183="",D183&lt;=E183),"",L183/((D183-E183)*G183))</f>
        <v/>
      </c>
      <c r="O183" s="15" t="str">
        <f aca="false">IF(OR(D183="",E183="",F183="",D183&lt;=E183),"",(F183-D183)/(D183-E183))</f>
        <v/>
      </c>
      <c r="P183" s="19"/>
      <c r="Q183" s="19"/>
      <c r="R183" s="19"/>
    </row>
    <row r="184" customFormat="false" ht="15" hidden="false" customHeight="false" outlineLevel="0" collapsed="false">
      <c r="A184" s="5" t="n">
        <v>180</v>
      </c>
      <c r="B184" s="18"/>
      <c r="C184" s="19"/>
      <c r="D184" s="20"/>
      <c r="E184" s="20"/>
      <c r="F184" s="20"/>
      <c r="G184" s="21"/>
      <c r="H184" s="10" t="str">
        <f aca="false">IF(OR(D184="",G184=""),"",D184*G184)</f>
        <v/>
      </c>
      <c r="I184" s="18"/>
      <c r="J184" s="20"/>
      <c r="K184" s="22"/>
      <c r="L184" s="10" t="str">
        <f aca="false">IF(OR(J184="",H184=""),"",J184*G184-H184-N(K184))</f>
        <v/>
      </c>
      <c r="M184" s="14" t="str">
        <f aca="false">IF(L184="","",L184/H184)</f>
        <v/>
      </c>
      <c r="N184" s="23" t="str">
        <f aca="false">IF(OR(L184="",E184="",D184&lt;=E184),"",L184/((D184-E184)*G184))</f>
        <v/>
      </c>
      <c r="O184" s="15" t="str">
        <f aca="false">IF(OR(D184="",E184="",F184="",D184&lt;=E184),"",(F184-D184)/(D184-E184))</f>
        <v/>
      </c>
      <c r="P184" s="19"/>
      <c r="Q184" s="19"/>
      <c r="R184" s="19"/>
    </row>
    <row r="185" customFormat="false" ht="15" hidden="false" customHeight="false" outlineLevel="0" collapsed="false">
      <c r="A185" s="5" t="n">
        <v>181</v>
      </c>
      <c r="B185" s="18"/>
      <c r="C185" s="19"/>
      <c r="D185" s="20"/>
      <c r="E185" s="20"/>
      <c r="F185" s="20"/>
      <c r="G185" s="21"/>
      <c r="H185" s="10" t="str">
        <f aca="false">IF(OR(D185="",G185=""),"",D185*G185)</f>
        <v/>
      </c>
      <c r="I185" s="18"/>
      <c r="J185" s="20"/>
      <c r="K185" s="22"/>
      <c r="L185" s="10" t="str">
        <f aca="false">IF(OR(J185="",H185=""),"",J185*G185-H185-N(K185))</f>
        <v/>
      </c>
      <c r="M185" s="14" t="str">
        <f aca="false">IF(L185="","",L185/H185)</f>
        <v/>
      </c>
      <c r="N185" s="23" t="str">
        <f aca="false">IF(OR(L185="",E185="",D185&lt;=E185),"",L185/((D185-E185)*G185))</f>
        <v/>
      </c>
      <c r="O185" s="15" t="str">
        <f aca="false">IF(OR(D185="",E185="",F185="",D185&lt;=E185),"",(F185-D185)/(D185-E185))</f>
        <v/>
      </c>
      <c r="P185" s="19"/>
      <c r="Q185" s="19"/>
      <c r="R185" s="19"/>
    </row>
    <row r="186" customFormat="false" ht="15" hidden="false" customHeight="false" outlineLevel="0" collapsed="false">
      <c r="A186" s="5" t="n">
        <v>182</v>
      </c>
      <c r="B186" s="18"/>
      <c r="C186" s="19"/>
      <c r="D186" s="20"/>
      <c r="E186" s="20"/>
      <c r="F186" s="20"/>
      <c r="G186" s="21"/>
      <c r="H186" s="10" t="str">
        <f aca="false">IF(OR(D186="",G186=""),"",D186*G186)</f>
        <v/>
      </c>
      <c r="I186" s="18"/>
      <c r="J186" s="20"/>
      <c r="K186" s="22"/>
      <c r="L186" s="10" t="str">
        <f aca="false">IF(OR(J186="",H186=""),"",J186*G186-H186-N(K186))</f>
        <v/>
      </c>
      <c r="M186" s="14" t="str">
        <f aca="false">IF(L186="","",L186/H186)</f>
        <v/>
      </c>
      <c r="N186" s="23" t="str">
        <f aca="false">IF(OR(L186="",E186="",D186&lt;=E186),"",L186/((D186-E186)*G186))</f>
        <v/>
      </c>
      <c r="O186" s="15" t="str">
        <f aca="false">IF(OR(D186="",E186="",F186="",D186&lt;=E186),"",(F186-D186)/(D186-E186))</f>
        <v/>
      </c>
      <c r="P186" s="19"/>
      <c r="Q186" s="19"/>
      <c r="R186" s="19"/>
    </row>
    <row r="187" customFormat="false" ht="15" hidden="false" customHeight="false" outlineLevel="0" collapsed="false">
      <c r="A187" s="5" t="n">
        <v>183</v>
      </c>
      <c r="B187" s="18"/>
      <c r="C187" s="19"/>
      <c r="D187" s="20"/>
      <c r="E187" s="20"/>
      <c r="F187" s="20"/>
      <c r="G187" s="21"/>
      <c r="H187" s="10" t="str">
        <f aca="false">IF(OR(D187="",G187=""),"",D187*G187)</f>
        <v/>
      </c>
      <c r="I187" s="18"/>
      <c r="J187" s="20"/>
      <c r="K187" s="22"/>
      <c r="L187" s="10" t="str">
        <f aca="false">IF(OR(J187="",H187=""),"",J187*G187-H187-N(K187))</f>
        <v/>
      </c>
      <c r="M187" s="14" t="str">
        <f aca="false">IF(L187="","",L187/H187)</f>
        <v/>
      </c>
      <c r="N187" s="23" t="str">
        <f aca="false">IF(OR(L187="",E187="",D187&lt;=E187),"",L187/((D187-E187)*G187))</f>
        <v/>
      </c>
      <c r="O187" s="15" t="str">
        <f aca="false">IF(OR(D187="",E187="",F187="",D187&lt;=E187),"",(F187-D187)/(D187-E187))</f>
        <v/>
      </c>
      <c r="P187" s="19"/>
      <c r="Q187" s="19"/>
      <c r="R187" s="19"/>
    </row>
    <row r="188" customFormat="false" ht="15" hidden="false" customHeight="false" outlineLevel="0" collapsed="false">
      <c r="A188" s="5" t="n">
        <v>184</v>
      </c>
      <c r="B188" s="18"/>
      <c r="C188" s="19"/>
      <c r="D188" s="20"/>
      <c r="E188" s="20"/>
      <c r="F188" s="20"/>
      <c r="G188" s="21"/>
      <c r="H188" s="10" t="str">
        <f aca="false">IF(OR(D188="",G188=""),"",D188*G188)</f>
        <v/>
      </c>
      <c r="I188" s="18"/>
      <c r="J188" s="20"/>
      <c r="K188" s="22"/>
      <c r="L188" s="10" t="str">
        <f aca="false">IF(OR(J188="",H188=""),"",J188*G188-H188-N(K188))</f>
        <v/>
      </c>
      <c r="M188" s="14" t="str">
        <f aca="false">IF(L188="","",L188/H188)</f>
        <v/>
      </c>
      <c r="N188" s="23" t="str">
        <f aca="false">IF(OR(L188="",E188="",D188&lt;=E188),"",L188/((D188-E188)*G188))</f>
        <v/>
      </c>
      <c r="O188" s="15" t="str">
        <f aca="false">IF(OR(D188="",E188="",F188="",D188&lt;=E188),"",(F188-D188)/(D188-E188))</f>
        <v/>
      </c>
      <c r="P188" s="19"/>
      <c r="Q188" s="19"/>
      <c r="R188" s="19"/>
    </row>
    <row r="189" customFormat="false" ht="15" hidden="false" customHeight="false" outlineLevel="0" collapsed="false">
      <c r="A189" s="5" t="n">
        <v>185</v>
      </c>
      <c r="B189" s="18"/>
      <c r="C189" s="19"/>
      <c r="D189" s="20"/>
      <c r="E189" s="20"/>
      <c r="F189" s="20"/>
      <c r="G189" s="21"/>
      <c r="H189" s="10" t="str">
        <f aca="false">IF(OR(D189="",G189=""),"",D189*G189)</f>
        <v/>
      </c>
      <c r="I189" s="18"/>
      <c r="J189" s="20"/>
      <c r="K189" s="22"/>
      <c r="L189" s="10" t="str">
        <f aca="false">IF(OR(J189="",H189=""),"",J189*G189-H189-N(K189))</f>
        <v/>
      </c>
      <c r="M189" s="14" t="str">
        <f aca="false">IF(L189="","",L189/H189)</f>
        <v/>
      </c>
      <c r="N189" s="23" t="str">
        <f aca="false">IF(OR(L189="",E189="",D189&lt;=E189),"",L189/((D189-E189)*G189))</f>
        <v/>
      </c>
      <c r="O189" s="15" t="str">
        <f aca="false">IF(OR(D189="",E189="",F189="",D189&lt;=E189),"",(F189-D189)/(D189-E189))</f>
        <v/>
      </c>
      <c r="P189" s="19"/>
      <c r="Q189" s="19"/>
      <c r="R189" s="19"/>
    </row>
    <row r="190" customFormat="false" ht="15" hidden="false" customHeight="false" outlineLevel="0" collapsed="false">
      <c r="A190" s="5" t="n">
        <v>186</v>
      </c>
      <c r="B190" s="18"/>
      <c r="C190" s="19"/>
      <c r="D190" s="20"/>
      <c r="E190" s="20"/>
      <c r="F190" s="20"/>
      <c r="G190" s="21"/>
      <c r="H190" s="10" t="str">
        <f aca="false">IF(OR(D190="",G190=""),"",D190*G190)</f>
        <v/>
      </c>
      <c r="I190" s="18"/>
      <c r="J190" s="20"/>
      <c r="K190" s="22"/>
      <c r="L190" s="10" t="str">
        <f aca="false">IF(OR(J190="",H190=""),"",J190*G190-H190-N(K190))</f>
        <v/>
      </c>
      <c r="M190" s="14" t="str">
        <f aca="false">IF(L190="","",L190/H190)</f>
        <v/>
      </c>
      <c r="N190" s="23" t="str">
        <f aca="false">IF(OR(L190="",E190="",D190&lt;=E190),"",L190/((D190-E190)*G190))</f>
        <v/>
      </c>
      <c r="O190" s="15" t="str">
        <f aca="false">IF(OR(D190="",E190="",F190="",D190&lt;=E190),"",(F190-D190)/(D190-E190))</f>
        <v/>
      </c>
      <c r="P190" s="19"/>
      <c r="Q190" s="19"/>
      <c r="R190" s="19"/>
    </row>
    <row r="191" customFormat="false" ht="15" hidden="false" customHeight="false" outlineLevel="0" collapsed="false">
      <c r="A191" s="5" t="n">
        <v>187</v>
      </c>
      <c r="B191" s="18"/>
      <c r="C191" s="19"/>
      <c r="D191" s="20"/>
      <c r="E191" s="20"/>
      <c r="F191" s="20"/>
      <c r="G191" s="21"/>
      <c r="H191" s="10" t="str">
        <f aca="false">IF(OR(D191="",G191=""),"",D191*G191)</f>
        <v/>
      </c>
      <c r="I191" s="18"/>
      <c r="J191" s="20"/>
      <c r="K191" s="22"/>
      <c r="L191" s="10" t="str">
        <f aca="false">IF(OR(J191="",H191=""),"",J191*G191-H191-N(K191))</f>
        <v/>
      </c>
      <c r="M191" s="14" t="str">
        <f aca="false">IF(L191="","",L191/H191)</f>
        <v/>
      </c>
      <c r="N191" s="23" t="str">
        <f aca="false">IF(OR(L191="",E191="",D191&lt;=E191),"",L191/((D191-E191)*G191))</f>
        <v/>
      </c>
      <c r="O191" s="15" t="str">
        <f aca="false">IF(OR(D191="",E191="",F191="",D191&lt;=E191),"",(F191-D191)/(D191-E191))</f>
        <v/>
      </c>
      <c r="P191" s="19"/>
      <c r="Q191" s="19"/>
      <c r="R191" s="19"/>
    </row>
    <row r="192" customFormat="false" ht="15" hidden="false" customHeight="false" outlineLevel="0" collapsed="false">
      <c r="A192" s="5" t="n">
        <v>188</v>
      </c>
      <c r="B192" s="18"/>
      <c r="C192" s="19"/>
      <c r="D192" s="20"/>
      <c r="E192" s="20"/>
      <c r="F192" s="20"/>
      <c r="G192" s="21"/>
      <c r="H192" s="10" t="str">
        <f aca="false">IF(OR(D192="",G192=""),"",D192*G192)</f>
        <v/>
      </c>
      <c r="I192" s="18"/>
      <c r="J192" s="20"/>
      <c r="K192" s="22"/>
      <c r="L192" s="10" t="str">
        <f aca="false">IF(OR(J192="",H192=""),"",J192*G192-H192-N(K192))</f>
        <v/>
      </c>
      <c r="M192" s="14" t="str">
        <f aca="false">IF(L192="","",L192/H192)</f>
        <v/>
      </c>
      <c r="N192" s="23" t="str">
        <f aca="false">IF(OR(L192="",E192="",D192&lt;=E192),"",L192/((D192-E192)*G192))</f>
        <v/>
      </c>
      <c r="O192" s="15" t="str">
        <f aca="false">IF(OR(D192="",E192="",F192="",D192&lt;=E192),"",(F192-D192)/(D192-E192))</f>
        <v/>
      </c>
      <c r="P192" s="19"/>
      <c r="Q192" s="19"/>
      <c r="R192" s="19"/>
    </row>
    <row r="193" customFormat="false" ht="15" hidden="false" customHeight="false" outlineLevel="0" collapsed="false">
      <c r="A193" s="5" t="n">
        <v>189</v>
      </c>
      <c r="B193" s="18"/>
      <c r="C193" s="19"/>
      <c r="D193" s="20"/>
      <c r="E193" s="20"/>
      <c r="F193" s="20"/>
      <c r="G193" s="21"/>
      <c r="H193" s="10" t="str">
        <f aca="false">IF(OR(D193="",G193=""),"",D193*G193)</f>
        <v/>
      </c>
      <c r="I193" s="18"/>
      <c r="J193" s="20"/>
      <c r="K193" s="22"/>
      <c r="L193" s="10" t="str">
        <f aca="false">IF(OR(J193="",H193=""),"",J193*G193-H193-N(K193))</f>
        <v/>
      </c>
      <c r="M193" s="14" t="str">
        <f aca="false">IF(L193="","",L193/H193)</f>
        <v/>
      </c>
      <c r="N193" s="23" t="str">
        <f aca="false">IF(OR(L193="",E193="",D193&lt;=E193),"",L193/((D193-E193)*G193))</f>
        <v/>
      </c>
      <c r="O193" s="15" t="str">
        <f aca="false">IF(OR(D193="",E193="",F193="",D193&lt;=E193),"",(F193-D193)/(D193-E193))</f>
        <v/>
      </c>
      <c r="P193" s="19"/>
      <c r="Q193" s="19"/>
      <c r="R193" s="19"/>
    </row>
    <row r="194" customFormat="false" ht="15" hidden="false" customHeight="false" outlineLevel="0" collapsed="false">
      <c r="A194" s="5" t="n">
        <v>190</v>
      </c>
      <c r="B194" s="18"/>
      <c r="C194" s="19"/>
      <c r="D194" s="20"/>
      <c r="E194" s="20"/>
      <c r="F194" s="20"/>
      <c r="G194" s="21"/>
      <c r="H194" s="10" t="str">
        <f aca="false">IF(OR(D194="",G194=""),"",D194*G194)</f>
        <v/>
      </c>
      <c r="I194" s="18"/>
      <c r="J194" s="20"/>
      <c r="K194" s="22"/>
      <c r="L194" s="10" t="str">
        <f aca="false">IF(OR(J194="",H194=""),"",J194*G194-H194-N(K194))</f>
        <v/>
      </c>
      <c r="M194" s="14" t="str">
        <f aca="false">IF(L194="","",L194/H194)</f>
        <v/>
      </c>
      <c r="N194" s="23" t="str">
        <f aca="false">IF(OR(L194="",E194="",D194&lt;=E194),"",L194/((D194-E194)*G194))</f>
        <v/>
      </c>
      <c r="O194" s="15" t="str">
        <f aca="false">IF(OR(D194="",E194="",F194="",D194&lt;=E194),"",(F194-D194)/(D194-E194))</f>
        <v/>
      </c>
      <c r="P194" s="19"/>
      <c r="Q194" s="19"/>
      <c r="R194" s="19"/>
    </row>
    <row r="195" customFormat="false" ht="15" hidden="false" customHeight="false" outlineLevel="0" collapsed="false">
      <c r="A195" s="5" t="n">
        <v>191</v>
      </c>
      <c r="B195" s="18"/>
      <c r="C195" s="19"/>
      <c r="D195" s="20"/>
      <c r="E195" s="20"/>
      <c r="F195" s="20"/>
      <c r="G195" s="21"/>
      <c r="H195" s="10" t="str">
        <f aca="false">IF(OR(D195="",G195=""),"",D195*G195)</f>
        <v/>
      </c>
      <c r="I195" s="18"/>
      <c r="J195" s="20"/>
      <c r="K195" s="22"/>
      <c r="L195" s="10" t="str">
        <f aca="false">IF(OR(J195="",H195=""),"",J195*G195-H195-N(K195))</f>
        <v/>
      </c>
      <c r="M195" s="14" t="str">
        <f aca="false">IF(L195="","",L195/H195)</f>
        <v/>
      </c>
      <c r="N195" s="23" t="str">
        <f aca="false">IF(OR(L195="",E195="",D195&lt;=E195),"",L195/((D195-E195)*G195))</f>
        <v/>
      </c>
      <c r="O195" s="15" t="str">
        <f aca="false">IF(OR(D195="",E195="",F195="",D195&lt;=E195),"",(F195-D195)/(D195-E195))</f>
        <v/>
      </c>
      <c r="P195" s="19"/>
      <c r="Q195" s="19"/>
      <c r="R195" s="19"/>
    </row>
    <row r="196" customFormat="false" ht="15" hidden="false" customHeight="false" outlineLevel="0" collapsed="false">
      <c r="A196" s="5" t="n">
        <v>192</v>
      </c>
      <c r="B196" s="18"/>
      <c r="C196" s="19"/>
      <c r="D196" s="20"/>
      <c r="E196" s="20"/>
      <c r="F196" s="20"/>
      <c r="G196" s="21"/>
      <c r="H196" s="10" t="str">
        <f aca="false">IF(OR(D196="",G196=""),"",D196*G196)</f>
        <v/>
      </c>
      <c r="I196" s="18"/>
      <c r="J196" s="20"/>
      <c r="K196" s="22"/>
      <c r="L196" s="10" t="str">
        <f aca="false">IF(OR(J196="",H196=""),"",J196*G196-H196-N(K196))</f>
        <v/>
      </c>
      <c r="M196" s="14" t="str">
        <f aca="false">IF(L196="","",L196/H196)</f>
        <v/>
      </c>
      <c r="N196" s="23" t="str">
        <f aca="false">IF(OR(L196="",E196="",D196&lt;=E196),"",L196/((D196-E196)*G196))</f>
        <v/>
      </c>
      <c r="O196" s="15" t="str">
        <f aca="false">IF(OR(D196="",E196="",F196="",D196&lt;=E196),"",(F196-D196)/(D196-E196))</f>
        <v/>
      </c>
      <c r="P196" s="19"/>
      <c r="Q196" s="19"/>
      <c r="R196" s="19"/>
    </row>
    <row r="197" customFormat="false" ht="15" hidden="false" customHeight="false" outlineLevel="0" collapsed="false">
      <c r="A197" s="5" t="n">
        <v>193</v>
      </c>
      <c r="B197" s="18"/>
      <c r="C197" s="19"/>
      <c r="D197" s="20"/>
      <c r="E197" s="20"/>
      <c r="F197" s="20"/>
      <c r="G197" s="21"/>
      <c r="H197" s="10" t="str">
        <f aca="false">IF(OR(D197="",G197=""),"",D197*G197)</f>
        <v/>
      </c>
      <c r="I197" s="18"/>
      <c r="J197" s="20"/>
      <c r="K197" s="22"/>
      <c r="L197" s="10" t="str">
        <f aca="false">IF(OR(J197="",H197=""),"",J197*G197-H197-N(K197))</f>
        <v/>
      </c>
      <c r="M197" s="14" t="str">
        <f aca="false">IF(L197="","",L197/H197)</f>
        <v/>
      </c>
      <c r="N197" s="23" t="str">
        <f aca="false">IF(OR(L197="",E197="",D197&lt;=E197),"",L197/((D197-E197)*G197))</f>
        <v/>
      </c>
      <c r="O197" s="15" t="str">
        <f aca="false">IF(OR(D197="",E197="",F197="",D197&lt;=E197),"",(F197-D197)/(D197-E197))</f>
        <v/>
      </c>
      <c r="P197" s="19"/>
      <c r="Q197" s="19"/>
      <c r="R197" s="19"/>
    </row>
    <row r="198" customFormat="false" ht="15" hidden="false" customHeight="false" outlineLevel="0" collapsed="false">
      <c r="A198" s="5" t="n">
        <v>194</v>
      </c>
      <c r="B198" s="18"/>
      <c r="C198" s="19"/>
      <c r="D198" s="20"/>
      <c r="E198" s="20"/>
      <c r="F198" s="20"/>
      <c r="G198" s="21"/>
      <c r="H198" s="10" t="str">
        <f aca="false">IF(OR(D198="",G198=""),"",D198*G198)</f>
        <v/>
      </c>
      <c r="I198" s="18"/>
      <c r="J198" s="20"/>
      <c r="K198" s="22"/>
      <c r="L198" s="10" t="str">
        <f aca="false">IF(OR(J198="",H198=""),"",J198*G198-H198-N(K198))</f>
        <v/>
      </c>
      <c r="M198" s="14" t="str">
        <f aca="false">IF(L198="","",L198/H198)</f>
        <v/>
      </c>
      <c r="N198" s="23" t="str">
        <f aca="false">IF(OR(L198="",E198="",D198&lt;=E198),"",L198/((D198-E198)*G198))</f>
        <v/>
      </c>
      <c r="O198" s="15" t="str">
        <f aca="false">IF(OR(D198="",E198="",F198="",D198&lt;=E198),"",(F198-D198)/(D198-E198))</f>
        <v/>
      </c>
      <c r="P198" s="19"/>
      <c r="Q198" s="19"/>
      <c r="R198" s="19"/>
    </row>
    <row r="199" customFormat="false" ht="15" hidden="false" customHeight="false" outlineLevel="0" collapsed="false">
      <c r="A199" s="5" t="n">
        <v>195</v>
      </c>
      <c r="B199" s="18"/>
      <c r="C199" s="19"/>
      <c r="D199" s="20"/>
      <c r="E199" s="20"/>
      <c r="F199" s="20"/>
      <c r="G199" s="21"/>
      <c r="H199" s="10" t="str">
        <f aca="false">IF(OR(D199="",G199=""),"",D199*G199)</f>
        <v/>
      </c>
      <c r="I199" s="18"/>
      <c r="J199" s="20"/>
      <c r="K199" s="22"/>
      <c r="L199" s="10" t="str">
        <f aca="false">IF(OR(J199="",H199=""),"",J199*G199-H199-N(K199))</f>
        <v/>
      </c>
      <c r="M199" s="14" t="str">
        <f aca="false">IF(L199="","",L199/H199)</f>
        <v/>
      </c>
      <c r="N199" s="23" t="str">
        <f aca="false">IF(OR(L199="",E199="",D199&lt;=E199),"",L199/((D199-E199)*G199))</f>
        <v/>
      </c>
      <c r="O199" s="15" t="str">
        <f aca="false">IF(OR(D199="",E199="",F199="",D199&lt;=E199),"",(F199-D199)/(D199-E199))</f>
        <v/>
      </c>
      <c r="P199" s="19"/>
      <c r="Q199" s="19"/>
      <c r="R199" s="19"/>
    </row>
    <row r="200" customFormat="false" ht="15" hidden="false" customHeight="false" outlineLevel="0" collapsed="false">
      <c r="A200" s="5" t="n">
        <v>196</v>
      </c>
      <c r="B200" s="18"/>
      <c r="C200" s="19"/>
      <c r="D200" s="20"/>
      <c r="E200" s="20"/>
      <c r="F200" s="20"/>
      <c r="G200" s="21"/>
      <c r="H200" s="10" t="str">
        <f aca="false">IF(OR(D200="",G200=""),"",D200*G200)</f>
        <v/>
      </c>
      <c r="I200" s="18"/>
      <c r="J200" s="20"/>
      <c r="K200" s="22"/>
      <c r="L200" s="10" t="str">
        <f aca="false">IF(OR(J200="",H200=""),"",J200*G200-H200-N(K200))</f>
        <v/>
      </c>
      <c r="M200" s="14" t="str">
        <f aca="false">IF(L200="","",L200/H200)</f>
        <v/>
      </c>
      <c r="N200" s="23" t="str">
        <f aca="false">IF(OR(L200="",E200="",D200&lt;=E200),"",L200/((D200-E200)*G200))</f>
        <v/>
      </c>
      <c r="O200" s="15" t="str">
        <f aca="false">IF(OR(D200="",E200="",F200="",D200&lt;=E200),"",(F200-D200)/(D200-E200))</f>
        <v/>
      </c>
      <c r="P200" s="19"/>
      <c r="Q200" s="19"/>
      <c r="R200" s="19"/>
    </row>
    <row r="201" customFormat="false" ht="15" hidden="false" customHeight="false" outlineLevel="0" collapsed="false">
      <c r="A201" s="5" t="n">
        <v>197</v>
      </c>
      <c r="B201" s="18"/>
      <c r="C201" s="19"/>
      <c r="D201" s="20"/>
      <c r="E201" s="20"/>
      <c r="F201" s="20"/>
      <c r="G201" s="21"/>
      <c r="H201" s="10" t="str">
        <f aca="false">IF(OR(D201="",G201=""),"",D201*G201)</f>
        <v/>
      </c>
      <c r="I201" s="18"/>
      <c r="J201" s="20"/>
      <c r="K201" s="22"/>
      <c r="L201" s="10" t="str">
        <f aca="false">IF(OR(J201="",H201=""),"",J201*G201-H201-N(K201))</f>
        <v/>
      </c>
      <c r="M201" s="14" t="str">
        <f aca="false">IF(L201="","",L201/H201)</f>
        <v/>
      </c>
      <c r="N201" s="23" t="str">
        <f aca="false">IF(OR(L201="",E201="",D201&lt;=E201),"",L201/((D201-E201)*G201))</f>
        <v/>
      </c>
      <c r="O201" s="15" t="str">
        <f aca="false">IF(OR(D201="",E201="",F201="",D201&lt;=E201),"",(F201-D201)/(D201-E201))</f>
        <v/>
      </c>
      <c r="P201" s="19"/>
      <c r="Q201" s="19"/>
      <c r="R201" s="19"/>
    </row>
    <row r="202" customFormat="false" ht="15" hidden="false" customHeight="false" outlineLevel="0" collapsed="false">
      <c r="A202" s="5" t="n">
        <v>198</v>
      </c>
      <c r="B202" s="18"/>
      <c r="C202" s="19"/>
      <c r="D202" s="20"/>
      <c r="E202" s="20"/>
      <c r="F202" s="20"/>
      <c r="G202" s="21"/>
      <c r="H202" s="10" t="str">
        <f aca="false">IF(OR(D202="",G202=""),"",D202*G202)</f>
        <v/>
      </c>
      <c r="I202" s="18"/>
      <c r="J202" s="20"/>
      <c r="K202" s="22"/>
      <c r="L202" s="10" t="str">
        <f aca="false">IF(OR(J202="",H202=""),"",J202*G202-H202-N(K202))</f>
        <v/>
      </c>
      <c r="M202" s="14" t="str">
        <f aca="false">IF(L202="","",L202/H202)</f>
        <v/>
      </c>
      <c r="N202" s="23" t="str">
        <f aca="false">IF(OR(L202="",E202="",D202&lt;=E202),"",L202/((D202-E202)*G202))</f>
        <v/>
      </c>
      <c r="O202" s="15" t="str">
        <f aca="false">IF(OR(D202="",E202="",F202="",D202&lt;=E202),"",(F202-D202)/(D202-E202))</f>
        <v/>
      </c>
      <c r="P202" s="19"/>
      <c r="Q202" s="19"/>
      <c r="R202" s="19"/>
    </row>
    <row r="203" customFormat="false" ht="15" hidden="false" customHeight="false" outlineLevel="0" collapsed="false">
      <c r="A203" s="5" t="n">
        <v>199</v>
      </c>
      <c r="B203" s="18"/>
      <c r="C203" s="19"/>
      <c r="D203" s="20"/>
      <c r="E203" s="20"/>
      <c r="F203" s="20"/>
      <c r="G203" s="21"/>
      <c r="H203" s="10" t="str">
        <f aca="false">IF(OR(D203="",G203=""),"",D203*G203)</f>
        <v/>
      </c>
      <c r="I203" s="18"/>
      <c r="J203" s="20"/>
      <c r="K203" s="22"/>
      <c r="L203" s="10" t="str">
        <f aca="false">IF(OR(J203="",H203=""),"",J203*G203-H203-N(K203))</f>
        <v/>
      </c>
      <c r="M203" s="14" t="str">
        <f aca="false">IF(L203="","",L203/H203)</f>
        <v/>
      </c>
      <c r="N203" s="23" t="str">
        <f aca="false">IF(OR(L203="",E203="",D203&lt;=E203),"",L203/((D203-E203)*G203))</f>
        <v/>
      </c>
      <c r="O203" s="15" t="str">
        <f aca="false">IF(OR(D203="",E203="",F203="",D203&lt;=E203),"",(F203-D203)/(D203-E203))</f>
        <v/>
      </c>
      <c r="P203" s="19"/>
      <c r="Q203" s="19"/>
      <c r="R203" s="19"/>
    </row>
    <row r="204" customFormat="false" ht="15" hidden="false" customHeight="false" outlineLevel="0" collapsed="false">
      <c r="A204" s="5" t="n">
        <v>200</v>
      </c>
      <c r="B204" s="18"/>
      <c r="C204" s="19"/>
      <c r="D204" s="20"/>
      <c r="E204" s="20"/>
      <c r="F204" s="20"/>
      <c r="G204" s="21"/>
      <c r="H204" s="10" t="str">
        <f aca="false">IF(OR(D204="",G204=""),"",D204*G204)</f>
        <v/>
      </c>
      <c r="I204" s="18"/>
      <c r="J204" s="20"/>
      <c r="K204" s="22"/>
      <c r="L204" s="10" t="str">
        <f aca="false">IF(OR(J204="",H204=""),"",J204*G204-H204-N(K204))</f>
        <v/>
      </c>
      <c r="M204" s="14" t="str">
        <f aca="false">IF(L204="","",L204/H204)</f>
        <v/>
      </c>
      <c r="N204" s="23" t="str">
        <f aca="false">IF(OR(L204="",E204="",D204&lt;=E204),"",L204/((D204-E204)*G204))</f>
        <v/>
      </c>
      <c r="O204" s="15" t="str">
        <f aca="false">IF(OR(D204="",E204="",F204="",D204&lt;=E204),"",(F204-D204)/(D204-E204))</f>
        <v/>
      </c>
      <c r="P204" s="19"/>
      <c r="Q204" s="19"/>
      <c r="R204" s="19"/>
    </row>
  </sheetData>
  <conditionalFormatting sqref="L5:L204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dataValidations count="1">
    <dataValidation allowBlank="true" errorStyle="stop" operator="between" showDropDown="false" showErrorMessage="false" showInputMessage="false" sqref="Q5:Q204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1" t="s">
        <v>53</v>
      </c>
      <c r="B1" s="2"/>
      <c r="C1" s="2"/>
    </row>
    <row r="2" customFormat="false" ht="15" hidden="false" customHeight="false" outlineLevel="0" collapsed="false">
      <c r="A2" s="3" t="s">
        <v>54</v>
      </c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2" t="s">
        <v>55</v>
      </c>
      <c r="B4" s="6" t="n">
        <v>50</v>
      </c>
      <c r="C4" s="7" t="s">
        <v>56</v>
      </c>
    </row>
    <row r="5" customFormat="false" ht="15" hidden="false" customHeight="false" outlineLevel="0" collapsed="false">
      <c r="A5" s="5" t="s">
        <v>57</v>
      </c>
      <c r="B5" s="24" t="n">
        <f aca="false">COUNT('Trade Journal'!$L$5:$L$204)</f>
        <v>1</v>
      </c>
      <c r="C5" s="2"/>
    </row>
    <row r="6" customFormat="false" ht="15" hidden="false" customHeight="false" outlineLevel="0" collapsed="false">
      <c r="A6" s="5" t="s">
        <v>58</v>
      </c>
      <c r="B6" s="24" t="n">
        <f aca="false">COUNTIF('Trade Journal'!$L$5:$L$204,"&gt;0")</f>
        <v>1</v>
      </c>
      <c r="C6" s="2"/>
    </row>
    <row r="7" customFormat="false" ht="15" hidden="false" customHeight="false" outlineLevel="0" collapsed="false">
      <c r="A7" s="5" t="s">
        <v>59</v>
      </c>
      <c r="B7" s="24" t="n">
        <f aca="false">COUNTIF('Trade Journal'!$L$5:$L$204,"&lt;0")</f>
        <v>0</v>
      </c>
      <c r="C7" s="2"/>
    </row>
    <row r="8" customFormat="false" ht="15" hidden="false" customHeight="false" outlineLevel="0" collapsed="false">
      <c r="A8" s="5" t="s">
        <v>60</v>
      </c>
      <c r="B8" s="25" t="n">
        <f aca="false">IFERROR(B6/B5,0)</f>
        <v>1</v>
      </c>
      <c r="C8" s="2"/>
    </row>
    <row r="9" customFormat="false" ht="15" hidden="false" customHeight="false" outlineLevel="0" collapsed="false">
      <c r="A9" s="5" t="s">
        <v>42</v>
      </c>
      <c r="B9" s="26" t="n">
        <f aca="false">SUM('Trade Journal'!$L$5:$L$204)</f>
        <v>28.996815</v>
      </c>
      <c r="C9" s="2"/>
    </row>
    <row r="10" customFormat="false" ht="15" hidden="false" customHeight="false" outlineLevel="0" collapsed="false">
      <c r="A10" s="5" t="s">
        <v>61</v>
      </c>
      <c r="B10" s="26" t="n">
        <f aca="false">B4+B9</f>
        <v>78.996815</v>
      </c>
      <c r="C10" s="2"/>
    </row>
    <row r="11" customFormat="false" ht="15" hidden="false" customHeight="false" outlineLevel="0" collapsed="false">
      <c r="A11" s="5" t="s">
        <v>62</v>
      </c>
      <c r="B11" s="25" t="n">
        <f aca="false">IFERROR(B9/B4,0)</f>
        <v>0.5799363</v>
      </c>
      <c r="C11" s="2"/>
    </row>
    <row r="12" customFormat="false" ht="15" hidden="false" customHeight="false" outlineLevel="0" collapsed="false">
      <c r="A12" s="5" t="s">
        <v>63</v>
      </c>
      <c r="B12" s="26" t="n">
        <f aca="false">IFERROR(AVERAGEIF('Trade Journal'!$L$5:$L$204,"&gt;0"),0)</f>
        <v>28.996815</v>
      </c>
      <c r="C12" s="2"/>
    </row>
    <row r="13" customFormat="false" ht="15" hidden="false" customHeight="false" outlineLevel="0" collapsed="false">
      <c r="A13" s="5" t="s">
        <v>64</v>
      </c>
      <c r="B13" s="26" t="n">
        <f aca="false">IFERROR(AVERAGEIF('Trade Journal'!$L$5:$L$204,"&lt;0"),0)</f>
        <v>0</v>
      </c>
      <c r="C13" s="2"/>
    </row>
    <row r="14" customFormat="false" ht="15" hidden="false" customHeight="false" outlineLevel="0" collapsed="false">
      <c r="A14" s="5" t="s">
        <v>65</v>
      </c>
      <c r="B14" s="27" t="str">
        <f aca="false">IF(B7=0,"No losses yet",SUMIF('Trade Journal'!$L$5:$L$204,"&gt;0")/-SUMIF('Trade Journal'!$L$5:$L$204,"&lt;0"))</f>
        <v>No losses yet</v>
      </c>
      <c r="C14" s="2"/>
    </row>
    <row r="15" customFormat="false" ht="15" hidden="false" customHeight="false" outlineLevel="0" collapsed="false">
      <c r="A15" s="5" t="s">
        <v>66</v>
      </c>
      <c r="B15" s="28" t="n">
        <f aca="false">IFERROR(AVERAGE('Trade Journal'!$N$5:$N$204),0)</f>
        <v>5.97931034482759</v>
      </c>
      <c r="C15" s="2"/>
    </row>
    <row r="16" customFormat="false" ht="15" hidden="false" customHeight="false" outlineLevel="0" collapsed="false">
      <c r="A16" s="5" t="s">
        <v>67</v>
      </c>
      <c r="B16" s="26" t="n">
        <f aca="false">MAX(0,MAX('Trade Journal'!$L$5:$L$204))</f>
        <v>28.996815</v>
      </c>
      <c r="C16" s="2"/>
    </row>
    <row r="17" customFormat="false" ht="15" hidden="false" customHeight="false" outlineLevel="0" collapsed="false">
      <c r="A17" s="5" t="s">
        <v>68</v>
      </c>
      <c r="B17" s="26" t="n">
        <f aca="false">MIN(0,MIN('Trade Journal'!$L$5:$L$204))</f>
        <v>0</v>
      </c>
      <c r="C17" s="2"/>
    </row>
    <row r="18" customFormat="false" ht="15" hidden="false" customHeight="false" outlineLevel="0" collapsed="false">
      <c r="A18" s="5" t="s">
        <v>69</v>
      </c>
      <c r="B18" s="25" t="n">
        <f aca="false">IFERROR(COUNTIF('Trade Journal'!$Q$5:$Q$204,"Y")/COUNTA('Trade Journal'!$Q$5:$Q$204),0)</f>
        <v>1</v>
      </c>
      <c r="C18" s="2"/>
    </row>
    <row r="19" customFormat="false" ht="15" hidden="false" customHeight="false" outlineLevel="0" collapsed="false">
      <c r="A19" s="2"/>
      <c r="B19" s="2"/>
      <c r="C19" s="2"/>
    </row>
    <row r="20" customFormat="false" ht="15" hidden="false" customHeight="false" outlineLevel="0" collapsed="false">
      <c r="A20" s="4" t="s">
        <v>70</v>
      </c>
      <c r="B20" s="2"/>
      <c r="C20" s="2"/>
    </row>
    <row r="21" customFormat="false" ht="15" hidden="false" customHeight="false" outlineLevel="0" collapsed="false">
      <c r="A21" s="29" t="s">
        <v>71</v>
      </c>
      <c r="B21" s="2"/>
      <c r="C21" s="2"/>
    </row>
    <row r="22" customFormat="false" ht="15" hidden="false" customHeight="false" outlineLevel="0" collapsed="false">
      <c r="A22" s="29" t="s">
        <v>72</v>
      </c>
      <c r="B22" s="2"/>
      <c r="C22" s="2"/>
    </row>
    <row r="23" customFormat="false" ht="15" hidden="false" customHeight="false" outlineLevel="0" collapsed="false">
      <c r="A23" s="29" t="s">
        <v>73</v>
      </c>
      <c r="B23" s="2"/>
      <c r="C2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6" min="4" style="0" width="10"/>
    <col collapsed="false" customWidth="true" hidden="false" outlineLevel="0" max="7" min="7" style="0" width="11"/>
    <col collapsed="false" customWidth="true" hidden="false" outlineLevel="0" max="10" min="8" style="0" width="10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4" min="14" style="0" width="10"/>
    <col collapsed="false" customWidth="true" hidden="false" outlineLevel="0" max="15" min="15" style="0" width="40"/>
  </cols>
  <sheetData>
    <row r="1" customFormat="false" ht="17.35" hidden="false" customHeight="false" outlineLevel="0" collapsed="false">
      <c r="A1" s="1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" hidden="false" customHeight="false" outlineLevel="0" collapsed="false">
      <c r="A2" s="3" t="s">
        <v>75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false" outlineLevel="0" collapsed="false">
      <c r="A3" s="30" t="s">
        <v>76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customFormat="false" ht="30" hidden="false" customHeight="true" outlineLevel="0" collapsed="false">
      <c r="A5" s="17" t="s">
        <v>77</v>
      </c>
      <c r="B5" s="17" t="s">
        <v>33</v>
      </c>
      <c r="C5" s="17" t="s">
        <v>78</v>
      </c>
      <c r="D5" s="17" t="s">
        <v>79</v>
      </c>
      <c r="E5" s="17" t="s">
        <v>80</v>
      </c>
      <c r="F5" s="17" t="s">
        <v>81</v>
      </c>
      <c r="G5" s="17" t="s">
        <v>82</v>
      </c>
      <c r="H5" s="17" t="s">
        <v>83</v>
      </c>
      <c r="I5" s="17" t="s">
        <v>84</v>
      </c>
      <c r="J5" s="17" t="s">
        <v>85</v>
      </c>
      <c r="K5" s="17" t="s">
        <v>86</v>
      </c>
      <c r="L5" s="17" t="s">
        <v>87</v>
      </c>
      <c r="M5" s="17" t="s">
        <v>88</v>
      </c>
      <c r="N5" s="17" t="s">
        <v>89</v>
      </c>
      <c r="O5" s="17" t="s">
        <v>90</v>
      </c>
    </row>
    <row r="6" customFormat="false" ht="15" hidden="false" customHeight="false" outlineLevel="0" collapsed="false">
      <c r="A6" s="18" t="n">
        <v>46312</v>
      </c>
      <c r="B6" s="31" t="s">
        <v>91</v>
      </c>
      <c r="C6" s="31" t="s">
        <v>92</v>
      </c>
      <c r="D6" s="32" t="s">
        <v>51</v>
      </c>
      <c r="E6" s="32" t="s">
        <v>51</v>
      </c>
      <c r="F6" s="32" t="s">
        <v>93</v>
      </c>
      <c r="G6" s="32" t="s">
        <v>51</v>
      </c>
      <c r="H6" s="32" t="s">
        <v>51</v>
      </c>
      <c r="I6" s="32" t="s">
        <v>51</v>
      </c>
      <c r="J6" s="32" t="s">
        <v>51</v>
      </c>
      <c r="K6" s="32" t="s">
        <v>51</v>
      </c>
      <c r="L6" s="32" t="s">
        <v>51</v>
      </c>
      <c r="M6" s="33" t="str">
        <f aca="false">IF(B6="","",COUNTIF(D6:L6,"Y")&amp;"/9")</f>
        <v>8/9</v>
      </c>
      <c r="N6" s="34" t="str">
        <f aca="false">IF(B6="","",IF(COUNTIF(D6:L6,"Y")=9,"GO","NO-GO"))</f>
        <v>NO-GO</v>
      </c>
      <c r="O6" s="31" t="s">
        <v>94</v>
      </c>
    </row>
    <row r="7" customFormat="false" ht="15" hidden="false" customHeight="false" outlineLevel="0" collapsed="false">
      <c r="A7" s="18"/>
      <c r="B7" s="31"/>
      <c r="C7" s="31"/>
      <c r="D7" s="32"/>
      <c r="E7" s="32"/>
      <c r="F7" s="32"/>
      <c r="G7" s="32"/>
      <c r="H7" s="32"/>
      <c r="I7" s="32"/>
      <c r="J7" s="32"/>
      <c r="K7" s="32"/>
      <c r="L7" s="32"/>
      <c r="M7" s="33" t="str">
        <f aca="false">IF(B7="","",COUNTIF(D7:L7,"Y")&amp;"/9")</f>
        <v/>
      </c>
      <c r="N7" s="34" t="str">
        <f aca="false">IF(B7="","",IF(COUNTIF(D7:L7,"Y")=9,"GO","NO-GO"))</f>
        <v/>
      </c>
      <c r="O7" s="31"/>
    </row>
    <row r="8" customFormat="false" ht="15" hidden="false" customHeight="false" outlineLevel="0" collapsed="false">
      <c r="A8" s="18"/>
      <c r="B8" s="31"/>
      <c r="C8" s="31"/>
      <c r="D8" s="32"/>
      <c r="E8" s="32"/>
      <c r="F8" s="32"/>
      <c r="G8" s="32"/>
      <c r="H8" s="32"/>
      <c r="I8" s="32"/>
      <c r="J8" s="32"/>
      <c r="K8" s="32"/>
      <c r="L8" s="32"/>
      <c r="M8" s="33" t="str">
        <f aca="false">IF(B8="","",COUNTIF(D8:L8,"Y")&amp;"/9")</f>
        <v/>
      </c>
      <c r="N8" s="34" t="str">
        <f aca="false">IF(B8="","",IF(COUNTIF(D8:L8,"Y")=9,"GO","NO-GO"))</f>
        <v/>
      </c>
      <c r="O8" s="31"/>
    </row>
    <row r="9" customFormat="false" ht="15" hidden="false" customHeight="false" outlineLevel="0" collapsed="false">
      <c r="A9" s="18"/>
      <c r="B9" s="31"/>
      <c r="C9" s="31"/>
      <c r="D9" s="32"/>
      <c r="E9" s="32"/>
      <c r="F9" s="32"/>
      <c r="G9" s="32"/>
      <c r="H9" s="32"/>
      <c r="I9" s="32"/>
      <c r="J9" s="32"/>
      <c r="K9" s="32"/>
      <c r="L9" s="32"/>
      <c r="M9" s="33" t="str">
        <f aca="false">IF(B9="","",COUNTIF(D9:L9,"Y")&amp;"/9")</f>
        <v/>
      </c>
      <c r="N9" s="34" t="str">
        <f aca="false">IF(B9="","",IF(COUNTIF(D9:L9,"Y")=9,"GO","NO-GO"))</f>
        <v/>
      </c>
      <c r="O9" s="31"/>
    </row>
    <row r="10" customFormat="false" ht="15" hidden="false" customHeight="false" outlineLevel="0" collapsed="false">
      <c r="A10" s="18"/>
      <c r="B10" s="31"/>
      <c r="C10" s="31"/>
      <c r="D10" s="32"/>
      <c r="E10" s="32"/>
      <c r="F10" s="32"/>
      <c r="G10" s="32"/>
      <c r="H10" s="32"/>
      <c r="I10" s="32"/>
      <c r="J10" s="32"/>
      <c r="K10" s="32"/>
      <c r="L10" s="32"/>
      <c r="M10" s="33" t="str">
        <f aca="false">IF(B10="","",COUNTIF(D10:L10,"Y")&amp;"/9")</f>
        <v/>
      </c>
      <c r="N10" s="34" t="str">
        <f aca="false">IF(B10="","",IF(COUNTIF(D10:L10,"Y")=9,"GO","NO-GO"))</f>
        <v/>
      </c>
      <c r="O10" s="31"/>
    </row>
    <row r="11" customFormat="false" ht="15" hidden="false" customHeight="false" outlineLevel="0" collapsed="false">
      <c r="A11" s="18"/>
      <c r="B11" s="31"/>
      <c r="C11" s="31"/>
      <c r="D11" s="32"/>
      <c r="E11" s="32"/>
      <c r="F11" s="32"/>
      <c r="G11" s="32"/>
      <c r="H11" s="32"/>
      <c r="I11" s="32"/>
      <c r="J11" s="32"/>
      <c r="K11" s="32"/>
      <c r="L11" s="32"/>
      <c r="M11" s="33" t="str">
        <f aca="false">IF(B11="","",COUNTIF(D11:L11,"Y")&amp;"/9")</f>
        <v/>
      </c>
      <c r="N11" s="34" t="str">
        <f aca="false">IF(B11="","",IF(COUNTIF(D11:L11,"Y")=9,"GO","NO-GO"))</f>
        <v/>
      </c>
      <c r="O11" s="31"/>
    </row>
    <row r="12" customFormat="false" ht="15" hidden="false" customHeight="false" outlineLevel="0" collapsed="false">
      <c r="A12" s="18"/>
      <c r="B12" s="31"/>
      <c r="C12" s="31"/>
      <c r="D12" s="32"/>
      <c r="E12" s="32"/>
      <c r="F12" s="32"/>
      <c r="G12" s="32"/>
      <c r="H12" s="32"/>
      <c r="I12" s="32"/>
      <c r="J12" s="32"/>
      <c r="K12" s="32"/>
      <c r="L12" s="32"/>
      <c r="M12" s="33" t="str">
        <f aca="false">IF(B12="","",COUNTIF(D12:L12,"Y")&amp;"/9")</f>
        <v/>
      </c>
      <c r="N12" s="34" t="str">
        <f aca="false">IF(B12="","",IF(COUNTIF(D12:L12,"Y")=9,"GO","NO-GO"))</f>
        <v/>
      </c>
      <c r="O12" s="31"/>
    </row>
    <row r="13" customFormat="false" ht="15" hidden="false" customHeight="false" outlineLevel="0" collapsed="false">
      <c r="A13" s="18"/>
      <c r="B13" s="31"/>
      <c r="C13" s="31"/>
      <c r="D13" s="32"/>
      <c r="E13" s="32"/>
      <c r="F13" s="32"/>
      <c r="G13" s="32"/>
      <c r="H13" s="32"/>
      <c r="I13" s="32"/>
      <c r="J13" s="32"/>
      <c r="K13" s="32"/>
      <c r="L13" s="32"/>
      <c r="M13" s="33" t="str">
        <f aca="false">IF(B13="","",COUNTIF(D13:L13,"Y")&amp;"/9")</f>
        <v/>
      </c>
      <c r="N13" s="34" t="str">
        <f aca="false">IF(B13="","",IF(COUNTIF(D13:L13,"Y")=9,"GO","NO-GO"))</f>
        <v/>
      </c>
      <c r="O13" s="31"/>
    </row>
    <row r="14" customFormat="false" ht="15" hidden="false" customHeight="false" outlineLevel="0" collapsed="false">
      <c r="A14" s="18"/>
      <c r="B14" s="31"/>
      <c r="C14" s="31"/>
      <c r="D14" s="32"/>
      <c r="E14" s="32"/>
      <c r="F14" s="32"/>
      <c r="G14" s="32"/>
      <c r="H14" s="32"/>
      <c r="I14" s="32"/>
      <c r="J14" s="32"/>
      <c r="K14" s="32"/>
      <c r="L14" s="32"/>
      <c r="M14" s="33" t="str">
        <f aca="false">IF(B14="","",COUNTIF(D14:L14,"Y")&amp;"/9")</f>
        <v/>
      </c>
      <c r="N14" s="34" t="str">
        <f aca="false">IF(B14="","",IF(COUNTIF(D14:L14,"Y")=9,"GO","NO-GO"))</f>
        <v/>
      </c>
      <c r="O14" s="31"/>
    </row>
    <row r="15" customFormat="false" ht="15" hidden="false" customHeight="false" outlineLevel="0" collapsed="false">
      <c r="A15" s="18"/>
      <c r="B15" s="31"/>
      <c r="C15" s="31"/>
      <c r="D15" s="32"/>
      <c r="E15" s="32"/>
      <c r="F15" s="32"/>
      <c r="G15" s="32"/>
      <c r="H15" s="32"/>
      <c r="I15" s="32"/>
      <c r="J15" s="32"/>
      <c r="K15" s="32"/>
      <c r="L15" s="32"/>
      <c r="M15" s="33" t="str">
        <f aca="false">IF(B15="","",COUNTIF(D15:L15,"Y")&amp;"/9")</f>
        <v/>
      </c>
      <c r="N15" s="34" t="str">
        <f aca="false">IF(B15="","",IF(COUNTIF(D15:L15,"Y")=9,"GO","NO-GO"))</f>
        <v/>
      </c>
      <c r="O15" s="31"/>
    </row>
    <row r="16" customFormat="false" ht="15" hidden="false" customHeight="false" outlineLevel="0" collapsed="false">
      <c r="A16" s="18"/>
      <c r="B16" s="31"/>
      <c r="C16" s="31"/>
      <c r="D16" s="32"/>
      <c r="E16" s="32"/>
      <c r="F16" s="32"/>
      <c r="G16" s="32"/>
      <c r="H16" s="32"/>
      <c r="I16" s="32"/>
      <c r="J16" s="32"/>
      <c r="K16" s="32"/>
      <c r="L16" s="32"/>
      <c r="M16" s="33" t="str">
        <f aca="false">IF(B16="","",COUNTIF(D16:L16,"Y")&amp;"/9")</f>
        <v/>
      </c>
      <c r="N16" s="34" t="str">
        <f aca="false">IF(B16="","",IF(COUNTIF(D16:L16,"Y")=9,"GO","NO-GO"))</f>
        <v/>
      </c>
      <c r="O16" s="31"/>
    </row>
    <row r="17" customFormat="false" ht="15" hidden="false" customHeight="false" outlineLevel="0" collapsed="false">
      <c r="A17" s="18"/>
      <c r="B17" s="31"/>
      <c r="C17" s="31"/>
      <c r="D17" s="32"/>
      <c r="E17" s="32"/>
      <c r="F17" s="32"/>
      <c r="G17" s="32"/>
      <c r="H17" s="32"/>
      <c r="I17" s="32"/>
      <c r="J17" s="32"/>
      <c r="K17" s="32"/>
      <c r="L17" s="32"/>
      <c r="M17" s="33" t="str">
        <f aca="false">IF(B17="","",COUNTIF(D17:L17,"Y")&amp;"/9")</f>
        <v/>
      </c>
      <c r="N17" s="34" t="str">
        <f aca="false">IF(B17="","",IF(COUNTIF(D17:L17,"Y")=9,"GO","NO-GO"))</f>
        <v/>
      </c>
      <c r="O17" s="31"/>
    </row>
    <row r="18" customFormat="false" ht="15" hidden="false" customHeight="false" outlineLevel="0" collapsed="false">
      <c r="A18" s="18"/>
      <c r="B18" s="31"/>
      <c r="C18" s="31"/>
      <c r="D18" s="32"/>
      <c r="E18" s="32"/>
      <c r="F18" s="32"/>
      <c r="G18" s="32"/>
      <c r="H18" s="32"/>
      <c r="I18" s="32"/>
      <c r="J18" s="32"/>
      <c r="K18" s="32"/>
      <c r="L18" s="32"/>
      <c r="M18" s="33" t="str">
        <f aca="false">IF(B18="","",COUNTIF(D18:L18,"Y")&amp;"/9")</f>
        <v/>
      </c>
      <c r="N18" s="34" t="str">
        <f aca="false">IF(B18="","",IF(COUNTIF(D18:L18,"Y")=9,"GO","NO-GO"))</f>
        <v/>
      </c>
      <c r="O18" s="31"/>
    </row>
    <row r="19" customFormat="false" ht="15" hidden="false" customHeight="false" outlineLevel="0" collapsed="false">
      <c r="A19" s="18"/>
      <c r="B19" s="31"/>
      <c r="C19" s="31"/>
      <c r="D19" s="32"/>
      <c r="E19" s="32"/>
      <c r="F19" s="32"/>
      <c r="G19" s="32"/>
      <c r="H19" s="32"/>
      <c r="I19" s="32"/>
      <c r="J19" s="32"/>
      <c r="K19" s="32"/>
      <c r="L19" s="32"/>
      <c r="M19" s="33" t="str">
        <f aca="false">IF(B19="","",COUNTIF(D19:L19,"Y")&amp;"/9")</f>
        <v/>
      </c>
      <c r="N19" s="34" t="str">
        <f aca="false">IF(B19="","",IF(COUNTIF(D19:L19,"Y")=9,"GO","NO-GO"))</f>
        <v/>
      </c>
      <c r="O19" s="31"/>
    </row>
    <row r="20" customFormat="false" ht="15" hidden="false" customHeight="false" outlineLevel="0" collapsed="false">
      <c r="A20" s="18"/>
      <c r="B20" s="31"/>
      <c r="C20" s="31"/>
      <c r="D20" s="32"/>
      <c r="E20" s="32"/>
      <c r="F20" s="32"/>
      <c r="G20" s="32"/>
      <c r="H20" s="32"/>
      <c r="I20" s="32"/>
      <c r="J20" s="32"/>
      <c r="K20" s="32"/>
      <c r="L20" s="32"/>
      <c r="M20" s="33" t="str">
        <f aca="false">IF(B20="","",COUNTIF(D20:L20,"Y")&amp;"/9")</f>
        <v/>
      </c>
      <c r="N20" s="34" t="str">
        <f aca="false">IF(B20="","",IF(COUNTIF(D20:L20,"Y")=9,"GO","NO-GO"))</f>
        <v/>
      </c>
      <c r="O20" s="31"/>
    </row>
    <row r="21" customFormat="false" ht="15" hidden="false" customHeight="false" outlineLevel="0" collapsed="false">
      <c r="A21" s="18"/>
      <c r="B21" s="31"/>
      <c r="C21" s="31"/>
      <c r="D21" s="32"/>
      <c r="E21" s="32"/>
      <c r="F21" s="32"/>
      <c r="G21" s="32"/>
      <c r="H21" s="32"/>
      <c r="I21" s="32"/>
      <c r="J21" s="32"/>
      <c r="K21" s="32"/>
      <c r="L21" s="32"/>
      <c r="M21" s="33" t="str">
        <f aca="false">IF(B21="","",COUNTIF(D21:L21,"Y")&amp;"/9")</f>
        <v/>
      </c>
      <c r="N21" s="34" t="str">
        <f aca="false">IF(B21="","",IF(COUNTIF(D21:L21,"Y")=9,"GO","NO-GO"))</f>
        <v/>
      </c>
      <c r="O21" s="31"/>
    </row>
    <row r="22" customFormat="false" ht="15" hidden="false" customHeight="false" outlineLevel="0" collapsed="false">
      <c r="A22" s="18"/>
      <c r="B22" s="31"/>
      <c r="C22" s="31"/>
      <c r="D22" s="32"/>
      <c r="E22" s="32"/>
      <c r="F22" s="32"/>
      <c r="G22" s="32"/>
      <c r="H22" s="32"/>
      <c r="I22" s="32"/>
      <c r="J22" s="32"/>
      <c r="K22" s="32"/>
      <c r="L22" s="32"/>
      <c r="M22" s="33" t="str">
        <f aca="false">IF(B22="","",COUNTIF(D22:L22,"Y")&amp;"/9")</f>
        <v/>
      </c>
      <c r="N22" s="34" t="str">
        <f aca="false">IF(B22="","",IF(COUNTIF(D22:L22,"Y")=9,"GO","NO-GO"))</f>
        <v/>
      </c>
      <c r="O22" s="31"/>
    </row>
    <row r="23" customFormat="false" ht="15" hidden="false" customHeight="false" outlineLevel="0" collapsed="false">
      <c r="A23" s="18"/>
      <c r="B23" s="31"/>
      <c r="C23" s="31"/>
      <c r="D23" s="32"/>
      <c r="E23" s="32"/>
      <c r="F23" s="32"/>
      <c r="G23" s="32"/>
      <c r="H23" s="32"/>
      <c r="I23" s="32"/>
      <c r="J23" s="32"/>
      <c r="K23" s="32"/>
      <c r="L23" s="32"/>
      <c r="M23" s="33" t="str">
        <f aca="false">IF(B23="","",COUNTIF(D23:L23,"Y")&amp;"/9")</f>
        <v/>
      </c>
      <c r="N23" s="34" t="str">
        <f aca="false">IF(B23="","",IF(COUNTIF(D23:L23,"Y")=9,"GO","NO-GO"))</f>
        <v/>
      </c>
      <c r="O23" s="31"/>
    </row>
    <row r="24" customFormat="false" ht="15" hidden="false" customHeight="false" outlineLevel="0" collapsed="false">
      <c r="A24" s="18"/>
      <c r="B24" s="31"/>
      <c r="C24" s="31"/>
      <c r="D24" s="32"/>
      <c r="E24" s="32"/>
      <c r="F24" s="32"/>
      <c r="G24" s="32"/>
      <c r="H24" s="32"/>
      <c r="I24" s="32"/>
      <c r="J24" s="32"/>
      <c r="K24" s="32"/>
      <c r="L24" s="32"/>
      <c r="M24" s="33" t="str">
        <f aca="false">IF(B24="","",COUNTIF(D24:L24,"Y")&amp;"/9")</f>
        <v/>
      </c>
      <c r="N24" s="34" t="str">
        <f aca="false">IF(B24="","",IF(COUNTIF(D24:L24,"Y")=9,"GO","NO-GO"))</f>
        <v/>
      </c>
      <c r="O24" s="31"/>
    </row>
    <row r="25" customFormat="false" ht="15" hidden="false" customHeight="false" outlineLevel="0" collapsed="false">
      <c r="A25" s="18"/>
      <c r="B25" s="31"/>
      <c r="C25" s="31"/>
      <c r="D25" s="32"/>
      <c r="E25" s="32"/>
      <c r="F25" s="32"/>
      <c r="G25" s="32"/>
      <c r="H25" s="32"/>
      <c r="I25" s="32"/>
      <c r="J25" s="32"/>
      <c r="K25" s="32"/>
      <c r="L25" s="32"/>
      <c r="M25" s="33" t="str">
        <f aca="false">IF(B25="","",COUNTIF(D25:L25,"Y")&amp;"/9")</f>
        <v/>
      </c>
      <c r="N25" s="34" t="str">
        <f aca="false">IF(B25="","",IF(COUNTIF(D25:L25,"Y")=9,"GO","NO-GO"))</f>
        <v/>
      </c>
      <c r="O25" s="31"/>
    </row>
    <row r="26" customFormat="false" ht="15" hidden="false" customHeight="false" outlineLevel="0" collapsed="false">
      <c r="A26" s="18"/>
      <c r="B26" s="31"/>
      <c r="C26" s="31"/>
      <c r="D26" s="32"/>
      <c r="E26" s="32"/>
      <c r="F26" s="32"/>
      <c r="G26" s="32"/>
      <c r="H26" s="32"/>
      <c r="I26" s="32"/>
      <c r="J26" s="32"/>
      <c r="K26" s="32"/>
      <c r="L26" s="32"/>
      <c r="M26" s="33" t="str">
        <f aca="false">IF(B26="","",COUNTIF(D26:L26,"Y")&amp;"/9")</f>
        <v/>
      </c>
      <c r="N26" s="34" t="str">
        <f aca="false">IF(B26="","",IF(COUNTIF(D26:L26,"Y")=9,"GO","NO-GO"))</f>
        <v/>
      </c>
      <c r="O26" s="31"/>
    </row>
    <row r="27" customFormat="false" ht="15" hidden="false" customHeight="false" outlineLevel="0" collapsed="false">
      <c r="A27" s="18"/>
      <c r="B27" s="31"/>
      <c r="C27" s="31"/>
      <c r="D27" s="32"/>
      <c r="E27" s="32"/>
      <c r="F27" s="32"/>
      <c r="G27" s="32"/>
      <c r="H27" s="32"/>
      <c r="I27" s="32"/>
      <c r="J27" s="32"/>
      <c r="K27" s="32"/>
      <c r="L27" s="32"/>
      <c r="M27" s="33" t="str">
        <f aca="false">IF(B27="","",COUNTIF(D27:L27,"Y")&amp;"/9")</f>
        <v/>
      </c>
      <c r="N27" s="34" t="str">
        <f aca="false">IF(B27="","",IF(COUNTIF(D27:L27,"Y")=9,"GO","NO-GO"))</f>
        <v/>
      </c>
      <c r="O27" s="31"/>
    </row>
    <row r="28" customFormat="false" ht="15" hidden="false" customHeight="false" outlineLevel="0" collapsed="false">
      <c r="A28" s="18"/>
      <c r="B28" s="31"/>
      <c r="C28" s="31"/>
      <c r="D28" s="32"/>
      <c r="E28" s="32"/>
      <c r="F28" s="32"/>
      <c r="G28" s="32"/>
      <c r="H28" s="32"/>
      <c r="I28" s="32"/>
      <c r="J28" s="32"/>
      <c r="K28" s="32"/>
      <c r="L28" s="32"/>
      <c r="M28" s="33" t="str">
        <f aca="false">IF(B28="","",COUNTIF(D28:L28,"Y")&amp;"/9")</f>
        <v/>
      </c>
      <c r="N28" s="34" t="str">
        <f aca="false">IF(B28="","",IF(COUNTIF(D28:L28,"Y")=9,"GO","NO-GO"))</f>
        <v/>
      </c>
      <c r="O28" s="31"/>
    </row>
    <row r="29" customFormat="false" ht="15" hidden="false" customHeight="false" outlineLevel="0" collapsed="false">
      <c r="A29" s="18"/>
      <c r="B29" s="31"/>
      <c r="C29" s="31"/>
      <c r="D29" s="32"/>
      <c r="E29" s="32"/>
      <c r="F29" s="32"/>
      <c r="G29" s="32"/>
      <c r="H29" s="32"/>
      <c r="I29" s="32"/>
      <c r="J29" s="32"/>
      <c r="K29" s="32"/>
      <c r="L29" s="32"/>
      <c r="M29" s="33" t="str">
        <f aca="false">IF(B29="","",COUNTIF(D29:L29,"Y")&amp;"/9")</f>
        <v/>
      </c>
      <c r="N29" s="34" t="str">
        <f aca="false">IF(B29="","",IF(COUNTIF(D29:L29,"Y")=9,"GO","NO-GO"))</f>
        <v/>
      </c>
      <c r="O29" s="31"/>
    </row>
    <row r="30" customFormat="false" ht="15" hidden="false" customHeight="false" outlineLevel="0" collapsed="false">
      <c r="A30" s="18"/>
      <c r="B30" s="31"/>
      <c r="C30" s="31"/>
      <c r="D30" s="32"/>
      <c r="E30" s="32"/>
      <c r="F30" s="32"/>
      <c r="G30" s="32"/>
      <c r="H30" s="32"/>
      <c r="I30" s="32"/>
      <c r="J30" s="32"/>
      <c r="K30" s="32"/>
      <c r="L30" s="32"/>
      <c r="M30" s="33" t="str">
        <f aca="false">IF(B30="","",COUNTIF(D30:L30,"Y")&amp;"/9")</f>
        <v/>
      </c>
      <c r="N30" s="34" t="str">
        <f aca="false">IF(B30="","",IF(COUNTIF(D30:L30,"Y")=9,"GO","NO-GO"))</f>
        <v/>
      </c>
      <c r="O30" s="31"/>
    </row>
    <row r="31" customFormat="false" ht="15" hidden="false" customHeight="false" outlineLevel="0" collapsed="false">
      <c r="A31" s="18"/>
      <c r="B31" s="31"/>
      <c r="C31" s="31"/>
      <c r="D31" s="32"/>
      <c r="E31" s="32"/>
      <c r="F31" s="32"/>
      <c r="G31" s="32"/>
      <c r="H31" s="32"/>
      <c r="I31" s="32"/>
      <c r="J31" s="32"/>
      <c r="K31" s="32"/>
      <c r="L31" s="32"/>
      <c r="M31" s="33" t="str">
        <f aca="false">IF(B31="","",COUNTIF(D31:L31,"Y")&amp;"/9")</f>
        <v/>
      </c>
      <c r="N31" s="34" t="str">
        <f aca="false">IF(B31="","",IF(COUNTIF(D31:L31,"Y")=9,"GO","NO-GO"))</f>
        <v/>
      </c>
      <c r="O31" s="31"/>
    </row>
    <row r="32" customFormat="false" ht="15" hidden="false" customHeight="false" outlineLevel="0" collapsed="false">
      <c r="A32" s="18"/>
      <c r="B32" s="31"/>
      <c r="C32" s="31"/>
      <c r="D32" s="32"/>
      <c r="E32" s="32"/>
      <c r="F32" s="32"/>
      <c r="G32" s="32"/>
      <c r="H32" s="32"/>
      <c r="I32" s="32"/>
      <c r="J32" s="32"/>
      <c r="K32" s="32"/>
      <c r="L32" s="32"/>
      <c r="M32" s="33" t="str">
        <f aca="false">IF(B32="","",COUNTIF(D32:L32,"Y")&amp;"/9")</f>
        <v/>
      </c>
      <c r="N32" s="34" t="str">
        <f aca="false">IF(B32="","",IF(COUNTIF(D32:L32,"Y")=9,"GO","NO-GO"))</f>
        <v/>
      </c>
      <c r="O32" s="31"/>
    </row>
    <row r="33" customFormat="false" ht="15" hidden="false" customHeight="false" outlineLevel="0" collapsed="false">
      <c r="A33" s="18"/>
      <c r="B33" s="31"/>
      <c r="C33" s="31"/>
      <c r="D33" s="32"/>
      <c r="E33" s="32"/>
      <c r="F33" s="32"/>
      <c r="G33" s="32"/>
      <c r="H33" s="32"/>
      <c r="I33" s="32"/>
      <c r="J33" s="32"/>
      <c r="K33" s="32"/>
      <c r="L33" s="32"/>
      <c r="M33" s="33" t="str">
        <f aca="false">IF(B33="","",COUNTIF(D33:L33,"Y")&amp;"/9")</f>
        <v/>
      </c>
      <c r="N33" s="34" t="str">
        <f aca="false">IF(B33="","",IF(COUNTIF(D33:L33,"Y")=9,"GO","NO-GO"))</f>
        <v/>
      </c>
      <c r="O33" s="31"/>
    </row>
    <row r="34" customFormat="false" ht="15" hidden="false" customHeight="false" outlineLevel="0" collapsed="false">
      <c r="A34" s="18"/>
      <c r="B34" s="31"/>
      <c r="C34" s="31"/>
      <c r="D34" s="32"/>
      <c r="E34" s="32"/>
      <c r="F34" s="32"/>
      <c r="G34" s="32"/>
      <c r="H34" s="32"/>
      <c r="I34" s="32"/>
      <c r="J34" s="32"/>
      <c r="K34" s="32"/>
      <c r="L34" s="32"/>
      <c r="M34" s="33" t="str">
        <f aca="false">IF(B34="","",COUNTIF(D34:L34,"Y")&amp;"/9")</f>
        <v/>
      </c>
      <c r="N34" s="34" t="str">
        <f aca="false">IF(B34="","",IF(COUNTIF(D34:L34,"Y")=9,"GO","NO-GO"))</f>
        <v/>
      </c>
      <c r="O34" s="31"/>
    </row>
    <row r="35" customFormat="false" ht="15" hidden="false" customHeight="false" outlineLevel="0" collapsed="false">
      <c r="A35" s="18"/>
      <c r="B35" s="31"/>
      <c r="C35" s="31"/>
      <c r="D35" s="32"/>
      <c r="E35" s="32"/>
      <c r="F35" s="32"/>
      <c r="G35" s="32"/>
      <c r="H35" s="32"/>
      <c r="I35" s="32"/>
      <c r="J35" s="32"/>
      <c r="K35" s="32"/>
      <c r="L35" s="32"/>
      <c r="M35" s="33" t="str">
        <f aca="false">IF(B35="","",COUNTIF(D35:L35,"Y")&amp;"/9")</f>
        <v/>
      </c>
      <c r="N35" s="34" t="str">
        <f aca="false">IF(B35="","",IF(COUNTIF(D35:L35,"Y")=9,"GO","NO-GO"))</f>
        <v/>
      </c>
      <c r="O35" s="31"/>
    </row>
    <row r="36" customFormat="false" ht="15" hidden="false" customHeight="false" outlineLevel="0" collapsed="false">
      <c r="A36" s="18"/>
      <c r="B36" s="31"/>
      <c r="C36" s="31"/>
      <c r="D36" s="32"/>
      <c r="E36" s="32"/>
      <c r="F36" s="32"/>
      <c r="G36" s="32"/>
      <c r="H36" s="32"/>
      <c r="I36" s="32"/>
      <c r="J36" s="32"/>
      <c r="K36" s="32"/>
      <c r="L36" s="32"/>
      <c r="M36" s="33" t="str">
        <f aca="false">IF(B36="","",COUNTIF(D36:L36,"Y")&amp;"/9")</f>
        <v/>
      </c>
      <c r="N36" s="34" t="str">
        <f aca="false">IF(B36="","",IF(COUNTIF(D36:L36,"Y")=9,"GO","NO-GO"))</f>
        <v/>
      </c>
      <c r="O36" s="31"/>
    </row>
    <row r="37" customFormat="false" ht="15" hidden="false" customHeight="false" outlineLevel="0" collapsed="false">
      <c r="A37" s="18"/>
      <c r="B37" s="31"/>
      <c r="C37" s="31"/>
      <c r="D37" s="32"/>
      <c r="E37" s="32"/>
      <c r="F37" s="32"/>
      <c r="G37" s="32"/>
      <c r="H37" s="32"/>
      <c r="I37" s="32"/>
      <c r="J37" s="32"/>
      <c r="K37" s="32"/>
      <c r="L37" s="32"/>
      <c r="M37" s="33" t="str">
        <f aca="false">IF(B37="","",COUNTIF(D37:L37,"Y")&amp;"/9")</f>
        <v/>
      </c>
      <c r="N37" s="34" t="str">
        <f aca="false">IF(B37="","",IF(COUNTIF(D37:L37,"Y")=9,"GO","NO-GO"))</f>
        <v/>
      </c>
      <c r="O37" s="31"/>
    </row>
    <row r="38" customFormat="false" ht="15" hidden="false" customHeight="false" outlineLevel="0" collapsed="false">
      <c r="A38" s="18"/>
      <c r="B38" s="31"/>
      <c r="C38" s="31"/>
      <c r="D38" s="32"/>
      <c r="E38" s="32"/>
      <c r="F38" s="32"/>
      <c r="G38" s="32"/>
      <c r="H38" s="32"/>
      <c r="I38" s="32"/>
      <c r="J38" s="32"/>
      <c r="K38" s="32"/>
      <c r="L38" s="32"/>
      <c r="M38" s="33" t="str">
        <f aca="false">IF(B38="","",COUNTIF(D38:L38,"Y")&amp;"/9")</f>
        <v/>
      </c>
      <c r="N38" s="34" t="str">
        <f aca="false">IF(B38="","",IF(COUNTIF(D38:L38,"Y")=9,"GO","NO-GO"))</f>
        <v/>
      </c>
      <c r="O38" s="31"/>
    </row>
    <row r="39" customFormat="false" ht="15" hidden="false" customHeight="false" outlineLevel="0" collapsed="false">
      <c r="A39" s="18"/>
      <c r="B39" s="31"/>
      <c r="C39" s="31"/>
      <c r="D39" s="32"/>
      <c r="E39" s="32"/>
      <c r="F39" s="32"/>
      <c r="G39" s="32"/>
      <c r="H39" s="32"/>
      <c r="I39" s="32"/>
      <c r="J39" s="32"/>
      <c r="K39" s="32"/>
      <c r="L39" s="32"/>
      <c r="M39" s="33" t="str">
        <f aca="false">IF(B39="","",COUNTIF(D39:L39,"Y")&amp;"/9")</f>
        <v/>
      </c>
      <c r="N39" s="34" t="str">
        <f aca="false">IF(B39="","",IF(COUNTIF(D39:L39,"Y")=9,"GO","NO-GO"))</f>
        <v/>
      </c>
      <c r="O39" s="31"/>
    </row>
    <row r="40" customFormat="false" ht="15" hidden="false" customHeight="false" outlineLevel="0" collapsed="false">
      <c r="A40" s="18"/>
      <c r="B40" s="31"/>
      <c r="C40" s="31"/>
      <c r="D40" s="32"/>
      <c r="E40" s="32"/>
      <c r="F40" s="32"/>
      <c r="G40" s="32"/>
      <c r="H40" s="32"/>
      <c r="I40" s="32"/>
      <c r="J40" s="32"/>
      <c r="K40" s="32"/>
      <c r="L40" s="32"/>
      <c r="M40" s="33" t="str">
        <f aca="false">IF(B40="","",COUNTIF(D40:L40,"Y")&amp;"/9")</f>
        <v/>
      </c>
      <c r="N40" s="34" t="str">
        <f aca="false">IF(B40="","",IF(COUNTIF(D40:L40,"Y")=9,"GO","NO-GO"))</f>
        <v/>
      </c>
      <c r="O40" s="31"/>
    </row>
    <row r="41" customFormat="false" ht="15" hidden="false" customHeight="false" outlineLevel="0" collapsed="false">
      <c r="A41" s="18"/>
      <c r="B41" s="31"/>
      <c r="C41" s="31"/>
      <c r="D41" s="32"/>
      <c r="E41" s="32"/>
      <c r="F41" s="32"/>
      <c r="G41" s="32"/>
      <c r="H41" s="32"/>
      <c r="I41" s="32"/>
      <c r="J41" s="32"/>
      <c r="K41" s="32"/>
      <c r="L41" s="32"/>
      <c r="M41" s="33" t="str">
        <f aca="false">IF(B41="","",COUNTIF(D41:L41,"Y")&amp;"/9")</f>
        <v/>
      </c>
      <c r="N41" s="34" t="str">
        <f aca="false">IF(B41="","",IF(COUNTIF(D41:L41,"Y")=9,"GO","NO-GO"))</f>
        <v/>
      </c>
      <c r="O41" s="31"/>
    </row>
    <row r="42" customFormat="false" ht="15" hidden="false" customHeight="false" outlineLevel="0" collapsed="false">
      <c r="A42" s="18"/>
      <c r="B42" s="31"/>
      <c r="C42" s="31"/>
      <c r="D42" s="32"/>
      <c r="E42" s="32"/>
      <c r="F42" s="32"/>
      <c r="G42" s="32"/>
      <c r="H42" s="32"/>
      <c r="I42" s="32"/>
      <c r="J42" s="32"/>
      <c r="K42" s="32"/>
      <c r="L42" s="32"/>
      <c r="M42" s="33" t="str">
        <f aca="false">IF(B42="","",COUNTIF(D42:L42,"Y")&amp;"/9")</f>
        <v/>
      </c>
      <c r="N42" s="34" t="str">
        <f aca="false">IF(B42="","",IF(COUNTIF(D42:L42,"Y")=9,"GO","NO-GO"))</f>
        <v/>
      </c>
      <c r="O42" s="31"/>
    </row>
    <row r="43" customFormat="false" ht="15" hidden="false" customHeight="false" outlineLevel="0" collapsed="false">
      <c r="A43" s="18"/>
      <c r="B43" s="31"/>
      <c r="C43" s="31"/>
      <c r="D43" s="32"/>
      <c r="E43" s="32"/>
      <c r="F43" s="32"/>
      <c r="G43" s="32"/>
      <c r="H43" s="32"/>
      <c r="I43" s="32"/>
      <c r="J43" s="32"/>
      <c r="K43" s="32"/>
      <c r="L43" s="32"/>
      <c r="M43" s="33" t="str">
        <f aca="false">IF(B43="","",COUNTIF(D43:L43,"Y")&amp;"/9")</f>
        <v/>
      </c>
      <c r="N43" s="34" t="str">
        <f aca="false">IF(B43="","",IF(COUNTIF(D43:L43,"Y")=9,"GO","NO-GO"))</f>
        <v/>
      </c>
      <c r="O43" s="31"/>
    </row>
    <row r="44" customFormat="false" ht="15" hidden="false" customHeight="false" outlineLevel="0" collapsed="false">
      <c r="A44" s="18"/>
      <c r="B44" s="31"/>
      <c r="C44" s="31"/>
      <c r="D44" s="32"/>
      <c r="E44" s="32"/>
      <c r="F44" s="32"/>
      <c r="G44" s="32"/>
      <c r="H44" s="32"/>
      <c r="I44" s="32"/>
      <c r="J44" s="32"/>
      <c r="K44" s="32"/>
      <c r="L44" s="32"/>
      <c r="M44" s="33" t="str">
        <f aca="false">IF(B44="","",COUNTIF(D44:L44,"Y")&amp;"/9")</f>
        <v/>
      </c>
      <c r="N44" s="34" t="str">
        <f aca="false">IF(B44="","",IF(COUNTIF(D44:L44,"Y")=9,"GO","NO-GO"))</f>
        <v/>
      </c>
      <c r="O44" s="31"/>
    </row>
    <row r="45" customFormat="false" ht="15" hidden="false" customHeight="false" outlineLevel="0" collapsed="false">
      <c r="A45" s="18"/>
      <c r="B45" s="31"/>
      <c r="C45" s="31"/>
      <c r="D45" s="32"/>
      <c r="E45" s="32"/>
      <c r="F45" s="32"/>
      <c r="G45" s="32"/>
      <c r="H45" s="32"/>
      <c r="I45" s="32"/>
      <c r="J45" s="32"/>
      <c r="K45" s="32"/>
      <c r="L45" s="32"/>
      <c r="M45" s="33" t="str">
        <f aca="false">IF(B45="","",COUNTIF(D45:L45,"Y")&amp;"/9")</f>
        <v/>
      </c>
      <c r="N45" s="34" t="str">
        <f aca="false">IF(B45="","",IF(COUNTIF(D45:L45,"Y")=9,"GO","NO-GO"))</f>
        <v/>
      </c>
      <c r="O45" s="31"/>
    </row>
    <row r="46" customFormat="false" ht="15" hidden="false" customHeight="false" outlineLevel="0" collapsed="false">
      <c r="A46" s="18"/>
      <c r="B46" s="31"/>
      <c r="C46" s="31"/>
      <c r="D46" s="32"/>
      <c r="E46" s="32"/>
      <c r="F46" s="32"/>
      <c r="G46" s="32"/>
      <c r="H46" s="32"/>
      <c r="I46" s="32"/>
      <c r="J46" s="32"/>
      <c r="K46" s="32"/>
      <c r="L46" s="32"/>
      <c r="M46" s="33" t="str">
        <f aca="false">IF(B46="","",COUNTIF(D46:L46,"Y")&amp;"/9")</f>
        <v/>
      </c>
      <c r="N46" s="34" t="str">
        <f aca="false">IF(B46="","",IF(COUNTIF(D46:L46,"Y")=9,"GO","NO-GO"))</f>
        <v/>
      </c>
      <c r="O46" s="31"/>
    </row>
    <row r="47" customFormat="false" ht="15" hidden="false" customHeight="false" outlineLevel="0" collapsed="false">
      <c r="A47" s="18"/>
      <c r="B47" s="31"/>
      <c r="C47" s="31"/>
      <c r="D47" s="32"/>
      <c r="E47" s="32"/>
      <c r="F47" s="32"/>
      <c r="G47" s="32"/>
      <c r="H47" s="32"/>
      <c r="I47" s="32"/>
      <c r="J47" s="32"/>
      <c r="K47" s="32"/>
      <c r="L47" s="32"/>
      <c r="M47" s="33" t="str">
        <f aca="false">IF(B47="","",COUNTIF(D47:L47,"Y")&amp;"/9")</f>
        <v/>
      </c>
      <c r="N47" s="34" t="str">
        <f aca="false">IF(B47="","",IF(COUNTIF(D47:L47,"Y")=9,"GO","NO-GO"))</f>
        <v/>
      </c>
      <c r="O47" s="31"/>
    </row>
    <row r="48" customFormat="false" ht="15" hidden="false" customHeight="false" outlineLevel="0" collapsed="false">
      <c r="A48" s="18"/>
      <c r="B48" s="31"/>
      <c r="C48" s="31"/>
      <c r="D48" s="32"/>
      <c r="E48" s="32"/>
      <c r="F48" s="32"/>
      <c r="G48" s="32"/>
      <c r="H48" s="32"/>
      <c r="I48" s="32"/>
      <c r="J48" s="32"/>
      <c r="K48" s="32"/>
      <c r="L48" s="32"/>
      <c r="M48" s="33" t="str">
        <f aca="false">IF(B48="","",COUNTIF(D48:L48,"Y")&amp;"/9")</f>
        <v/>
      </c>
      <c r="N48" s="34" t="str">
        <f aca="false">IF(B48="","",IF(COUNTIF(D48:L48,"Y")=9,"GO","NO-GO"))</f>
        <v/>
      </c>
      <c r="O48" s="31"/>
    </row>
    <row r="49" customFormat="false" ht="15" hidden="false" customHeight="false" outlineLevel="0" collapsed="false">
      <c r="A49" s="18"/>
      <c r="B49" s="31"/>
      <c r="C49" s="31"/>
      <c r="D49" s="32"/>
      <c r="E49" s="32"/>
      <c r="F49" s="32"/>
      <c r="G49" s="32"/>
      <c r="H49" s="32"/>
      <c r="I49" s="32"/>
      <c r="J49" s="32"/>
      <c r="K49" s="32"/>
      <c r="L49" s="32"/>
      <c r="M49" s="33" t="str">
        <f aca="false">IF(B49="","",COUNTIF(D49:L49,"Y")&amp;"/9")</f>
        <v/>
      </c>
      <c r="N49" s="34" t="str">
        <f aca="false">IF(B49="","",IF(COUNTIF(D49:L49,"Y")=9,"GO","NO-GO"))</f>
        <v/>
      </c>
      <c r="O49" s="31"/>
    </row>
    <row r="50" customFormat="false" ht="15" hidden="false" customHeight="false" outlineLevel="0" collapsed="false">
      <c r="A50" s="18"/>
      <c r="B50" s="31"/>
      <c r="C50" s="31"/>
      <c r="D50" s="32"/>
      <c r="E50" s="32"/>
      <c r="F50" s="32"/>
      <c r="G50" s="32"/>
      <c r="H50" s="32"/>
      <c r="I50" s="32"/>
      <c r="J50" s="32"/>
      <c r="K50" s="32"/>
      <c r="L50" s="32"/>
      <c r="M50" s="33" t="str">
        <f aca="false">IF(B50="","",COUNTIF(D50:L50,"Y")&amp;"/9")</f>
        <v/>
      </c>
      <c r="N50" s="34" t="str">
        <f aca="false">IF(B50="","",IF(COUNTIF(D50:L50,"Y")=9,"GO","NO-GO"))</f>
        <v/>
      </c>
      <c r="O50" s="31"/>
    </row>
    <row r="51" customFormat="false" ht="15" hidden="false" customHeight="false" outlineLevel="0" collapsed="false">
      <c r="A51" s="18"/>
      <c r="B51" s="31"/>
      <c r="C51" s="31"/>
      <c r="D51" s="32"/>
      <c r="E51" s="32"/>
      <c r="F51" s="32"/>
      <c r="G51" s="32"/>
      <c r="H51" s="32"/>
      <c r="I51" s="32"/>
      <c r="J51" s="32"/>
      <c r="K51" s="32"/>
      <c r="L51" s="32"/>
      <c r="M51" s="33" t="str">
        <f aca="false">IF(B51="","",COUNTIF(D51:L51,"Y")&amp;"/9")</f>
        <v/>
      </c>
      <c r="N51" s="34" t="str">
        <f aca="false">IF(B51="","",IF(COUNTIF(D51:L51,"Y")=9,"GO","NO-GO"))</f>
        <v/>
      </c>
      <c r="O51" s="31"/>
    </row>
    <row r="52" customFormat="false" ht="15" hidden="false" customHeight="false" outlineLevel="0" collapsed="false">
      <c r="A52" s="18"/>
      <c r="B52" s="31"/>
      <c r="C52" s="31"/>
      <c r="D52" s="32"/>
      <c r="E52" s="32"/>
      <c r="F52" s="32"/>
      <c r="G52" s="32"/>
      <c r="H52" s="32"/>
      <c r="I52" s="32"/>
      <c r="J52" s="32"/>
      <c r="K52" s="32"/>
      <c r="L52" s="32"/>
      <c r="M52" s="33" t="str">
        <f aca="false">IF(B52="","",COUNTIF(D52:L52,"Y")&amp;"/9")</f>
        <v/>
      </c>
      <c r="N52" s="34" t="str">
        <f aca="false">IF(B52="","",IF(COUNTIF(D52:L52,"Y")=9,"GO","NO-GO"))</f>
        <v/>
      </c>
      <c r="O52" s="31"/>
    </row>
    <row r="53" customFormat="false" ht="15" hidden="false" customHeight="false" outlineLevel="0" collapsed="false">
      <c r="A53" s="18"/>
      <c r="B53" s="31"/>
      <c r="C53" s="31"/>
      <c r="D53" s="32"/>
      <c r="E53" s="32"/>
      <c r="F53" s="32"/>
      <c r="G53" s="32"/>
      <c r="H53" s="32"/>
      <c r="I53" s="32"/>
      <c r="J53" s="32"/>
      <c r="K53" s="32"/>
      <c r="L53" s="32"/>
      <c r="M53" s="33" t="str">
        <f aca="false">IF(B53="","",COUNTIF(D53:L53,"Y")&amp;"/9")</f>
        <v/>
      </c>
      <c r="N53" s="34" t="str">
        <f aca="false">IF(B53="","",IF(COUNTIF(D53:L53,"Y")=9,"GO","NO-GO"))</f>
        <v/>
      </c>
      <c r="O53" s="31"/>
    </row>
    <row r="54" customFormat="false" ht="15" hidden="false" customHeight="false" outlineLevel="0" collapsed="false">
      <c r="A54" s="18"/>
      <c r="B54" s="31"/>
      <c r="C54" s="31"/>
      <c r="D54" s="32"/>
      <c r="E54" s="32"/>
      <c r="F54" s="32"/>
      <c r="G54" s="32"/>
      <c r="H54" s="32"/>
      <c r="I54" s="32"/>
      <c r="J54" s="32"/>
      <c r="K54" s="32"/>
      <c r="L54" s="32"/>
      <c r="M54" s="33" t="str">
        <f aca="false">IF(B54="","",COUNTIF(D54:L54,"Y")&amp;"/9")</f>
        <v/>
      </c>
      <c r="N54" s="34" t="str">
        <f aca="false">IF(B54="","",IF(COUNTIF(D54:L54,"Y")=9,"GO","NO-GO"))</f>
        <v/>
      </c>
      <c r="O54" s="31"/>
    </row>
    <row r="55" customFormat="false" ht="15" hidden="false" customHeight="false" outlineLevel="0" collapsed="false">
      <c r="A55" s="18"/>
      <c r="B55" s="31"/>
      <c r="C55" s="31"/>
      <c r="D55" s="32"/>
      <c r="E55" s="32"/>
      <c r="F55" s="32"/>
      <c r="G55" s="32"/>
      <c r="H55" s="32"/>
      <c r="I55" s="32"/>
      <c r="J55" s="32"/>
      <c r="K55" s="32"/>
      <c r="L55" s="32"/>
      <c r="M55" s="33" t="str">
        <f aca="false">IF(B55="","",COUNTIF(D55:L55,"Y")&amp;"/9")</f>
        <v/>
      </c>
      <c r="N55" s="34" t="str">
        <f aca="false">IF(B55="","",IF(COUNTIF(D55:L55,"Y")=9,"GO","NO-GO"))</f>
        <v/>
      </c>
      <c r="O55" s="31"/>
    </row>
    <row r="56" customFormat="false" ht="15" hidden="false" customHeight="false" outlineLevel="0" collapsed="false">
      <c r="A56" s="18"/>
      <c r="B56" s="31"/>
      <c r="C56" s="31"/>
      <c r="D56" s="32"/>
      <c r="E56" s="32"/>
      <c r="F56" s="32"/>
      <c r="G56" s="32"/>
      <c r="H56" s="32"/>
      <c r="I56" s="32"/>
      <c r="J56" s="32"/>
      <c r="K56" s="32"/>
      <c r="L56" s="32"/>
      <c r="M56" s="33" t="str">
        <f aca="false">IF(B56="","",COUNTIF(D56:L56,"Y")&amp;"/9")</f>
        <v/>
      </c>
      <c r="N56" s="34" t="str">
        <f aca="false">IF(B56="","",IF(COUNTIF(D56:L56,"Y")=9,"GO","NO-GO"))</f>
        <v/>
      </c>
      <c r="O56" s="31"/>
    </row>
    <row r="57" customFormat="false" ht="15" hidden="false" customHeight="false" outlineLevel="0" collapsed="false">
      <c r="A57" s="18"/>
      <c r="B57" s="31"/>
      <c r="C57" s="31"/>
      <c r="D57" s="32"/>
      <c r="E57" s="32"/>
      <c r="F57" s="32"/>
      <c r="G57" s="32"/>
      <c r="H57" s="32"/>
      <c r="I57" s="32"/>
      <c r="J57" s="32"/>
      <c r="K57" s="32"/>
      <c r="L57" s="32"/>
      <c r="M57" s="33" t="str">
        <f aca="false">IF(B57="","",COUNTIF(D57:L57,"Y")&amp;"/9")</f>
        <v/>
      </c>
      <c r="N57" s="34" t="str">
        <f aca="false">IF(B57="","",IF(COUNTIF(D57:L57,"Y")=9,"GO","NO-GO"))</f>
        <v/>
      </c>
      <c r="O57" s="31"/>
    </row>
    <row r="58" customFormat="false" ht="15" hidden="false" customHeight="false" outlineLevel="0" collapsed="false">
      <c r="A58" s="18"/>
      <c r="B58" s="31"/>
      <c r="C58" s="31"/>
      <c r="D58" s="32"/>
      <c r="E58" s="32"/>
      <c r="F58" s="32"/>
      <c r="G58" s="32"/>
      <c r="H58" s="32"/>
      <c r="I58" s="32"/>
      <c r="J58" s="32"/>
      <c r="K58" s="32"/>
      <c r="L58" s="32"/>
      <c r="M58" s="33" t="str">
        <f aca="false">IF(B58="","",COUNTIF(D58:L58,"Y")&amp;"/9")</f>
        <v/>
      </c>
      <c r="N58" s="34" t="str">
        <f aca="false">IF(B58="","",IF(COUNTIF(D58:L58,"Y")=9,"GO","NO-GO"))</f>
        <v/>
      </c>
      <c r="O58" s="31"/>
    </row>
    <row r="59" customFormat="false" ht="15" hidden="false" customHeight="false" outlineLevel="0" collapsed="false">
      <c r="A59" s="18"/>
      <c r="B59" s="31"/>
      <c r="C59" s="31"/>
      <c r="D59" s="32"/>
      <c r="E59" s="32"/>
      <c r="F59" s="32"/>
      <c r="G59" s="32"/>
      <c r="H59" s="32"/>
      <c r="I59" s="32"/>
      <c r="J59" s="32"/>
      <c r="K59" s="32"/>
      <c r="L59" s="32"/>
      <c r="M59" s="33" t="str">
        <f aca="false">IF(B59="","",COUNTIF(D59:L59,"Y")&amp;"/9")</f>
        <v/>
      </c>
      <c r="N59" s="34" t="str">
        <f aca="false">IF(B59="","",IF(COUNTIF(D59:L59,"Y")=9,"GO","NO-GO"))</f>
        <v/>
      </c>
      <c r="O59" s="31"/>
    </row>
    <row r="60" customFormat="false" ht="15" hidden="false" customHeight="false" outlineLevel="0" collapsed="false">
      <c r="A60" s="18"/>
      <c r="B60" s="31"/>
      <c r="C60" s="31"/>
      <c r="D60" s="32"/>
      <c r="E60" s="32"/>
      <c r="F60" s="32"/>
      <c r="G60" s="32"/>
      <c r="H60" s="32"/>
      <c r="I60" s="32"/>
      <c r="J60" s="32"/>
      <c r="K60" s="32"/>
      <c r="L60" s="32"/>
      <c r="M60" s="33" t="str">
        <f aca="false">IF(B60="","",COUNTIF(D60:L60,"Y")&amp;"/9")</f>
        <v/>
      </c>
      <c r="N60" s="34" t="str">
        <f aca="false">IF(B60="","",IF(COUNTIF(D60:L60,"Y")=9,"GO","NO-GO"))</f>
        <v/>
      </c>
      <c r="O60" s="31"/>
    </row>
    <row r="61" customFormat="false" ht="15" hidden="false" customHeight="false" outlineLevel="0" collapsed="false">
      <c r="A61" s="18"/>
      <c r="B61" s="31"/>
      <c r="C61" s="31"/>
      <c r="D61" s="32"/>
      <c r="E61" s="32"/>
      <c r="F61" s="32"/>
      <c r="G61" s="32"/>
      <c r="H61" s="32"/>
      <c r="I61" s="32"/>
      <c r="J61" s="32"/>
      <c r="K61" s="32"/>
      <c r="L61" s="32"/>
      <c r="M61" s="33" t="str">
        <f aca="false">IF(B61="","",COUNTIF(D61:L61,"Y")&amp;"/9")</f>
        <v/>
      </c>
      <c r="N61" s="34" t="str">
        <f aca="false">IF(B61="","",IF(COUNTIF(D61:L61,"Y")=9,"GO","NO-GO"))</f>
        <v/>
      </c>
      <c r="O61" s="31"/>
    </row>
    <row r="62" customFormat="false" ht="15" hidden="false" customHeight="false" outlineLevel="0" collapsed="false">
      <c r="A62" s="18"/>
      <c r="B62" s="31"/>
      <c r="C62" s="31"/>
      <c r="D62" s="32"/>
      <c r="E62" s="32"/>
      <c r="F62" s="32"/>
      <c r="G62" s="32"/>
      <c r="H62" s="32"/>
      <c r="I62" s="32"/>
      <c r="J62" s="32"/>
      <c r="K62" s="32"/>
      <c r="L62" s="32"/>
      <c r="M62" s="33" t="str">
        <f aca="false">IF(B62="","",COUNTIF(D62:L62,"Y")&amp;"/9")</f>
        <v/>
      </c>
      <c r="N62" s="34" t="str">
        <f aca="false">IF(B62="","",IF(COUNTIF(D62:L62,"Y")=9,"GO","NO-GO"))</f>
        <v/>
      </c>
      <c r="O62" s="31"/>
    </row>
    <row r="63" customFormat="false" ht="15" hidden="false" customHeight="false" outlineLevel="0" collapsed="false">
      <c r="A63" s="18"/>
      <c r="B63" s="31"/>
      <c r="C63" s="31"/>
      <c r="D63" s="32"/>
      <c r="E63" s="32"/>
      <c r="F63" s="32"/>
      <c r="G63" s="32"/>
      <c r="H63" s="32"/>
      <c r="I63" s="32"/>
      <c r="J63" s="32"/>
      <c r="K63" s="32"/>
      <c r="L63" s="32"/>
      <c r="M63" s="33" t="str">
        <f aca="false">IF(B63="","",COUNTIF(D63:L63,"Y")&amp;"/9")</f>
        <v/>
      </c>
      <c r="N63" s="34" t="str">
        <f aca="false">IF(B63="","",IF(COUNTIF(D63:L63,"Y")=9,"GO","NO-GO"))</f>
        <v/>
      </c>
      <c r="O63" s="31"/>
    </row>
    <row r="64" customFormat="false" ht="15" hidden="false" customHeight="false" outlineLevel="0" collapsed="false">
      <c r="A64" s="18"/>
      <c r="B64" s="31"/>
      <c r="C64" s="31"/>
      <c r="D64" s="32"/>
      <c r="E64" s="32"/>
      <c r="F64" s="32"/>
      <c r="G64" s="32"/>
      <c r="H64" s="32"/>
      <c r="I64" s="32"/>
      <c r="J64" s="32"/>
      <c r="K64" s="32"/>
      <c r="L64" s="32"/>
      <c r="M64" s="33" t="str">
        <f aca="false">IF(B64="","",COUNTIF(D64:L64,"Y")&amp;"/9")</f>
        <v/>
      </c>
      <c r="N64" s="34" t="str">
        <f aca="false">IF(B64="","",IF(COUNTIF(D64:L64,"Y")=9,"GO","NO-GO"))</f>
        <v/>
      </c>
      <c r="O64" s="31"/>
    </row>
    <row r="65" customFormat="false" ht="15" hidden="false" customHeight="false" outlineLevel="0" collapsed="false">
      <c r="A65" s="18"/>
      <c r="B65" s="31"/>
      <c r="C65" s="31"/>
      <c r="D65" s="32"/>
      <c r="E65" s="32"/>
      <c r="F65" s="32"/>
      <c r="G65" s="32"/>
      <c r="H65" s="32"/>
      <c r="I65" s="32"/>
      <c r="J65" s="32"/>
      <c r="K65" s="32"/>
      <c r="L65" s="32"/>
      <c r="M65" s="33" t="str">
        <f aca="false">IF(B65="","",COUNTIF(D65:L65,"Y")&amp;"/9")</f>
        <v/>
      </c>
      <c r="N65" s="34" t="str">
        <f aca="false">IF(B65="","",IF(COUNTIF(D65:L65,"Y")=9,"GO","NO-GO"))</f>
        <v/>
      </c>
      <c r="O65" s="31"/>
    </row>
    <row r="66" customFormat="false" ht="15" hidden="false" customHeight="false" outlineLevel="0" collapsed="false">
      <c r="A66" s="18"/>
      <c r="B66" s="31"/>
      <c r="C66" s="31"/>
      <c r="D66" s="32"/>
      <c r="E66" s="32"/>
      <c r="F66" s="32"/>
      <c r="G66" s="32"/>
      <c r="H66" s="32"/>
      <c r="I66" s="32"/>
      <c r="J66" s="32"/>
      <c r="K66" s="32"/>
      <c r="L66" s="32"/>
      <c r="M66" s="33" t="str">
        <f aca="false">IF(B66="","",COUNTIF(D66:L66,"Y")&amp;"/9")</f>
        <v/>
      </c>
      <c r="N66" s="34" t="str">
        <f aca="false">IF(B66="","",IF(COUNTIF(D66:L66,"Y")=9,"GO","NO-GO"))</f>
        <v/>
      </c>
      <c r="O66" s="31"/>
    </row>
    <row r="67" customFormat="false" ht="15" hidden="false" customHeight="false" outlineLevel="0" collapsed="false">
      <c r="A67" s="18"/>
      <c r="B67" s="31"/>
      <c r="C67" s="31"/>
      <c r="D67" s="32"/>
      <c r="E67" s="32"/>
      <c r="F67" s="32"/>
      <c r="G67" s="32"/>
      <c r="H67" s="32"/>
      <c r="I67" s="32"/>
      <c r="J67" s="32"/>
      <c r="K67" s="32"/>
      <c r="L67" s="32"/>
      <c r="M67" s="33" t="str">
        <f aca="false">IF(B67="","",COUNTIF(D67:L67,"Y")&amp;"/9")</f>
        <v/>
      </c>
      <c r="N67" s="34" t="str">
        <f aca="false">IF(B67="","",IF(COUNTIF(D67:L67,"Y")=9,"GO","NO-GO"))</f>
        <v/>
      </c>
      <c r="O67" s="31"/>
    </row>
    <row r="68" customFormat="false" ht="15" hidden="false" customHeight="false" outlineLevel="0" collapsed="false">
      <c r="A68" s="18"/>
      <c r="B68" s="31"/>
      <c r="C68" s="31"/>
      <c r="D68" s="32"/>
      <c r="E68" s="32"/>
      <c r="F68" s="32"/>
      <c r="G68" s="32"/>
      <c r="H68" s="32"/>
      <c r="I68" s="32"/>
      <c r="J68" s="32"/>
      <c r="K68" s="32"/>
      <c r="L68" s="32"/>
      <c r="M68" s="33" t="str">
        <f aca="false">IF(B68="","",COUNTIF(D68:L68,"Y")&amp;"/9")</f>
        <v/>
      </c>
      <c r="N68" s="34" t="str">
        <f aca="false">IF(B68="","",IF(COUNTIF(D68:L68,"Y")=9,"GO","NO-GO"))</f>
        <v/>
      </c>
      <c r="O68" s="31"/>
    </row>
    <row r="69" customFormat="false" ht="15" hidden="false" customHeight="false" outlineLevel="0" collapsed="false">
      <c r="A69" s="18"/>
      <c r="B69" s="31"/>
      <c r="C69" s="31"/>
      <c r="D69" s="32"/>
      <c r="E69" s="32"/>
      <c r="F69" s="32"/>
      <c r="G69" s="32"/>
      <c r="H69" s="32"/>
      <c r="I69" s="32"/>
      <c r="J69" s="32"/>
      <c r="K69" s="32"/>
      <c r="L69" s="32"/>
      <c r="M69" s="33" t="str">
        <f aca="false">IF(B69="","",COUNTIF(D69:L69,"Y")&amp;"/9")</f>
        <v/>
      </c>
      <c r="N69" s="34" t="str">
        <f aca="false">IF(B69="","",IF(COUNTIF(D69:L69,"Y")=9,"GO","NO-GO"))</f>
        <v/>
      </c>
      <c r="O69" s="31"/>
    </row>
    <row r="70" customFormat="false" ht="15" hidden="false" customHeight="false" outlineLevel="0" collapsed="false">
      <c r="A70" s="18"/>
      <c r="B70" s="31"/>
      <c r="C70" s="31"/>
      <c r="D70" s="32"/>
      <c r="E70" s="32"/>
      <c r="F70" s="32"/>
      <c r="G70" s="32"/>
      <c r="H70" s="32"/>
      <c r="I70" s="32"/>
      <c r="J70" s="32"/>
      <c r="K70" s="32"/>
      <c r="L70" s="32"/>
      <c r="M70" s="33" t="str">
        <f aca="false">IF(B70="","",COUNTIF(D70:L70,"Y")&amp;"/9")</f>
        <v/>
      </c>
      <c r="N70" s="34" t="str">
        <f aca="false">IF(B70="","",IF(COUNTIF(D70:L70,"Y")=9,"GO","NO-GO"))</f>
        <v/>
      </c>
      <c r="O70" s="31"/>
    </row>
    <row r="71" customFormat="false" ht="15" hidden="false" customHeight="false" outlineLevel="0" collapsed="false">
      <c r="A71" s="18"/>
      <c r="B71" s="31"/>
      <c r="C71" s="31"/>
      <c r="D71" s="32"/>
      <c r="E71" s="32"/>
      <c r="F71" s="32"/>
      <c r="G71" s="32"/>
      <c r="H71" s="32"/>
      <c r="I71" s="32"/>
      <c r="J71" s="32"/>
      <c r="K71" s="32"/>
      <c r="L71" s="32"/>
      <c r="M71" s="33" t="str">
        <f aca="false">IF(B71="","",COUNTIF(D71:L71,"Y")&amp;"/9")</f>
        <v/>
      </c>
      <c r="N71" s="34" t="str">
        <f aca="false">IF(B71="","",IF(COUNTIF(D71:L71,"Y")=9,"GO","NO-GO"))</f>
        <v/>
      </c>
      <c r="O71" s="31"/>
    </row>
    <row r="72" customFormat="false" ht="15" hidden="false" customHeight="false" outlineLevel="0" collapsed="false">
      <c r="A72" s="18"/>
      <c r="B72" s="31"/>
      <c r="C72" s="31"/>
      <c r="D72" s="32"/>
      <c r="E72" s="32"/>
      <c r="F72" s="32"/>
      <c r="G72" s="32"/>
      <c r="H72" s="32"/>
      <c r="I72" s="32"/>
      <c r="J72" s="32"/>
      <c r="K72" s="32"/>
      <c r="L72" s="32"/>
      <c r="M72" s="33" t="str">
        <f aca="false">IF(B72="","",COUNTIF(D72:L72,"Y")&amp;"/9")</f>
        <v/>
      </c>
      <c r="N72" s="34" t="str">
        <f aca="false">IF(B72="","",IF(COUNTIF(D72:L72,"Y")=9,"GO","NO-GO"))</f>
        <v/>
      </c>
      <c r="O72" s="31"/>
    </row>
    <row r="73" customFormat="false" ht="15" hidden="false" customHeight="false" outlineLevel="0" collapsed="false">
      <c r="A73" s="18"/>
      <c r="B73" s="31"/>
      <c r="C73" s="31"/>
      <c r="D73" s="32"/>
      <c r="E73" s="32"/>
      <c r="F73" s="32"/>
      <c r="G73" s="32"/>
      <c r="H73" s="32"/>
      <c r="I73" s="32"/>
      <c r="J73" s="32"/>
      <c r="K73" s="32"/>
      <c r="L73" s="32"/>
      <c r="M73" s="33" t="str">
        <f aca="false">IF(B73="","",COUNTIF(D73:L73,"Y")&amp;"/9")</f>
        <v/>
      </c>
      <c r="N73" s="34" t="str">
        <f aca="false">IF(B73="","",IF(COUNTIF(D73:L73,"Y")=9,"GO","NO-GO"))</f>
        <v/>
      </c>
      <c r="O73" s="31"/>
    </row>
    <row r="74" customFormat="false" ht="15" hidden="false" customHeight="false" outlineLevel="0" collapsed="false">
      <c r="A74" s="18"/>
      <c r="B74" s="31"/>
      <c r="C74" s="31"/>
      <c r="D74" s="32"/>
      <c r="E74" s="32"/>
      <c r="F74" s="32"/>
      <c r="G74" s="32"/>
      <c r="H74" s="32"/>
      <c r="I74" s="32"/>
      <c r="J74" s="32"/>
      <c r="K74" s="32"/>
      <c r="L74" s="32"/>
      <c r="M74" s="33" t="str">
        <f aca="false">IF(B74="","",COUNTIF(D74:L74,"Y")&amp;"/9")</f>
        <v/>
      </c>
      <c r="N74" s="34" t="str">
        <f aca="false">IF(B74="","",IF(COUNTIF(D74:L74,"Y")=9,"GO","NO-GO"))</f>
        <v/>
      </c>
      <c r="O74" s="31"/>
    </row>
    <row r="75" customFormat="false" ht="15" hidden="false" customHeight="false" outlineLevel="0" collapsed="false">
      <c r="A75" s="18"/>
      <c r="B75" s="31"/>
      <c r="C75" s="31"/>
      <c r="D75" s="32"/>
      <c r="E75" s="32"/>
      <c r="F75" s="32"/>
      <c r="G75" s="32"/>
      <c r="H75" s="32"/>
      <c r="I75" s="32"/>
      <c r="J75" s="32"/>
      <c r="K75" s="32"/>
      <c r="L75" s="32"/>
      <c r="M75" s="33" t="str">
        <f aca="false">IF(B75="","",COUNTIF(D75:L75,"Y")&amp;"/9")</f>
        <v/>
      </c>
      <c r="N75" s="34" t="str">
        <f aca="false">IF(B75="","",IF(COUNTIF(D75:L75,"Y")=9,"GO","NO-GO"))</f>
        <v/>
      </c>
      <c r="O75" s="31"/>
    </row>
    <row r="76" customFormat="false" ht="15" hidden="false" customHeight="false" outlineLevel="0" collapsed="false">
      <c r="A76" s="18"/>
      <c r="B76" s="31"/>
      <c r="C76" s="31"/>
      <c r="D76" s="32"/>
      <c r="E76" s="32"/>
      <c r="F76" s="32"/>
      <c r="G76" s="32"/>
      <c r="H76" s="32"/>
      <c r="I76" s="32"/>
      <c r="J76" s="32"/>
      <c r="K76" s="32"/>
      <c r="L76" s="32"/>
      <c r="M76" s="33" t="str">
        <f aca="false">IF(B76="","",COUNTIF(D76:L76,"Y")&amp;"/9")</f>
        <v/>
      </c>
      <c r="N76" s="34" t="str">
        <f aca="false">IF(B76="","",IF(COUNTIF(D76:L76,"Y")=9,"GO","NO-GO"))</f>
        <v/>
      </c>
      <c r="O76" s="31"/>
    </row>
    <row r="77" customFormat="false" ht="15" hidden="false" customHeight="false" outlineLevel="0" collapsed="false">
      <c r="A77" s="18"/>
      <c r="B77" s="31"/>
      <c r="C77" s="31"/>
      <c r="D77" s="32"/>
      <c r="E77" s="32"/>
      <c r="F77" s="32"/>
      <c r="G77" s="32"/>
      <c r="H77" s="32"/>
      <c r="I77" s="32"/>
      <c r="J77" s="32"/>
      <c r="K77" s="32"/>
      <c r="L77" s="32"/>
      <c r="M77" s="33" t="str">
        <f aca="false">IF(B77="","",COUNTIF(D77:L77,"Y")&amp;"/9")</f>
        <v/>
      </c>
      <c r="N77" s="34" t="str">
        <f aca="false">IF(B77="","",IF(COUNTIF(D77:L77,"Y")=9,"GO","NO-GO"))</f>
        <v/>
      </c>
      <c r="O77" s="31"/>
    </row>
    <row r="78" customFormat="false" ht="15" hidden="false" customHeight="false" outlineLevel="0" collapsed="false">
      <c r="A78" s="18"/>
      <c r="B78" s="31"/>
      <c r="C78" s="31"/>
      <c r="D78" s="32"/>
      <c r="E78" s="32"/>
      <c r="F78" s="32"/>
      <c r="G78" s="32"/>
      <c r="H78" s="32"/>
      <c r="I78" s="32"/>
      <c r="J78" s="32"/>
      <c r="K78" s="32"/>
      <c r="L78" s="32"/>
      <c r="M78" s="33" t="str">
        <f aca="false">IF(B78="","",COUNTIF(D78:L78,"Y")&amp;"/9")</f>
        <v/>
      </c>
      <c r="N78" s="34" t="str">
        <f aca="false">IF(B78="","",IF(COUNTIF(D78:L78,"Y")=9,"GO","NO-GO"))</f>
        <v/>
      </c>
      <c r="O78" s="31"/>
    </row>
    <row r="79" customFormat="false" ht="15" hidden="false" customHeight="false" outlineLevel="0" collapsed="false">
      <c r="A79" s="18"/>
      <c r="B79" s="31"/>
      <c r="C79" s="31"/>
      <c r="D79" s="32"/>
      <c r="E79" s="32"/>
      <c r="F79" s="32"/>
      <c r="G79" s="32"/>
      <c r="H79" s="32"/>
      <c r="I79" s="32"/>
      <c r="J79" s="32"/>
      <c r="K79" s="32"/>
      <c r="L79" s="32"/>
      <c r="M79" s="33" t="str">
        <f aca="false">IF(B79="","",COUNTIF(D79:L79,"Y")&amp;"/9")</f>
        <v/>
      </c>
      <c r="N79" s="34" t="str">
        <f aca="false">IF(B79="","",IF(COUNTIF(D79:L79,"Y")=9,"GO","NO-GO"))</f>
        <v/>
      </c>
      <c r="O79" s="31"/>
    </row>
    <row r="80" customFormat="false" ht="15" hidden="false" customHeight="false" outlineLevel="0" collapsed="false">
      <c r="A80" s="18"/>
      <c r="B80" s="31"/>
      <c r="C80" s="31"/>
      <c r="D80" s="32"/>
      <c r="E80" s="32"/>
      <c r="F80" s="32"/>
      <c r="G80" s="32"/>
      <c r="H80" s="32"/>
      <c r="I80" s="32"/>
      <c r="J80" s="32"/>
      <c r="K80" s="32"/>
      <c r="L80" s="32"/>
      <c r="M80" s="33" t="str">
        <f aca="false">IF(B80="","",COUNTIF(D80:L80,"Y")&amp;"/9")</f>
        <v/>
      </c>
      <c r="N80" s="34" t="str">
        <f aca="false">IF(B80="","",IF(COUNTIF(D80:L80,"Y")=9,"GO","NO-GO"))</f>
        <v/>
      </c>
      <c r="O80" s="31"/>
    </row>
    <row r="81" customFormat="false" ht="15" hidden="false" customHeight="false" outlineLevel="0" collapsed="false">
      <c r="A81" s="18"/>
      <c r="B81" s="31"/>
      <c r="C81" s="31"/>
      <c r="D81" s="32"/>
      <c r="E81" s="32"/>
      <c r="F81" s="32"/>
      <c r="G81" s="32"/>
      <c r="H81" s="32"/>
      <c r="I81" s="32"/>
      <c r="J81" s="32"/>
      <c r="K81" s="32"/>
      <c r="L81" s="32"/>
      <c r="M81" s="33" t="str">
        <f aca="false">IF(B81="","",COUNTIF(D81:L81,"Y")&amp;"/9")</f>
        <v/>
      </c>
      <c r="N81" s="34" t="str">
        <f aca="false">IF(B81="","",IF(COUNTIF(D81:L81,"Y")=9,"GO","NO-GO"))</f>
        <v/>
      </c>
      <c r="O81" s="31"/>
    </row>
    <row r="82" customFormat="false" ht="15" hidden="false" customHeight="false" outlineLevel="0" collapsed="false">
      <c r="A82" s="18"/>
      <c r="B82" s="31"/>
      <c r="C82" s="31"/>
      <c r="D82" s="32"/>
      <c r="E82" s="32"/>
      <c r="F82" s="32"/>
      <c r="G82" s="32"/>
      <c r="H82" s="32"/>
      <c r="I82" s="32"/>
      <c r="J82" s="32"/>
      <c r="K82" s="32"/>
      <c r="L82" s="32"/>
      <c r="M82" s="33" t="str">
        <f aca="false">IF(B82="","",COUNTIF(D82:L82,"Y")&amp;"/9")</f>
        <v/>
      </c>
      <c r="N82" s="34" t="str">
        <f aca="false">IF(B82="","",IF(COUNTIF(D82:L82,"Y")=9,"GO","NO-GO"))</f>
        <v/>
      </c>
      <c r="O82" s="31"/>
    </row>
    <row r="83" customFormat="false" ht="15" hidden="false" customHeight="false" outlineLevel="0" collapsed="false">
      <c r="A83" s="18"/>
      <c r="B83" s="31"/>
      <c r="C83" s="31"/>
      <c r="D83" s="32"/>
      <c r="E83" s="32"/>
      <c r="F83" s="32"/>
      <c r="G83" s="32"/>
      <c r="H83" s="32"/>
      <c r="I83" s="32"/>
      <c r="J83" s="32"/>
      <c r="K83" s="32"/>
      <c r="L83" s="32"/>
      <c r="M83" s="33" t="str">
        <f aca="false">IF(B83="","",COUNTIF(D83:L83,"Y")&amp;"/9")</f>
        <v/>
      </c>
      <c r="N83" s="34" t="str">
        <f aca="false">IF(B83="","",IF(COUNTIF(D83:L83,"Y")=9,"GO","NO-GO"))</f>
        <v/>
      </c>
      <c r="O83" s="31"/>
    </row>
    <row r="84" customFormat="false" ht="15" hidden="false" customHeight="false" outlineLevel="0" collapsed="false">
      <c r="A84" s="18"/>
      <c r="B84" s="31"/>
      <c r="C84" s="31"/>
      <c r="D84" s="32"/>
      <c r="E84" s="32"/>
      <c r="F84" s="32"/>
      <c r="G84" s="32"/>
      <c r="H84" s="32"/>
      <c r="I84" s="32"/>
      <c r="J84" s="32"/>
      <c r="K84" s="32"/>
      <c r="L84" s="32"/>
      <c r="M84" s="33" t="str">
        <f aca="false">IF(B84="","",COUNTIF(D84:L84,"Y")&amp;"/9")</f>
        <v/>
      </c>
      <c r="N84" s="34" t="str">
        <f aca="false">IF(B84="","",IF(COUNTIF(D84:L84,"Y")=9,"GO","NO-GO"))</f>
        <v/>
      </c>
      <c r="O84" s="31"/>
    </row>
    <row r="85" customFormat="false" ht="15" hidden="false" customHeight="false" outlineLevel="0" collapsed="false">
      <c r="A85" s="18"/>
      <c r="B85" s="31"/>
      <c r="C85" s="31"/>
      <c r="D85" s="32"/>
      <c r="E85" s="32"/>
      <c r="F85" s="32"/>
      <c r="G85" s="32"/>
      <c r="H85" s="32"/>
      <c r="I85" s="32"/>
      <c r="J85" s="32"/>
      <c r="K85" s="32"/>
      <c r="L85" s="32"/>
      <c r="M85" s="33" t="str">
        <f aca="false">IF(B85="","",COUNTIF(D85:L85,"Y")&amp;"/9")</f>
        <v/>
      </c>
      <c r="N85" s="34" t="str">
        <f aca="false">IF(B85="","",IF(COUNTIF(D85:L85,"Y")=9,"GO","NO-GO"))</f>
        <v/>
      </c>
      <c r="O85" s="31"/>
    </row>
    <row r="86" customFormat="false" ht="15" hidden="false" customHeight="false" outlineLevel="0" collapsed="false">
      <c r="A86" s="18"/>
      <c r="B86" s="31"/>
      <c r="C86" s="31"/>
      <c r="D86" s="32"/>
      <c r="E86" s="32"/>
      <c r="F86" s="32"/>
      <c r="G86" s="32"/>
      <c r="H86" s="32"/>
      <c r="I86" s="32"/>
      <c r="J86" s="32"/>
      <c r="K86" s="32"/>
      <c r="L86" s="32"/>
      <c r="M86" s="33" t="str">
        <f aca="false">IF(B86="","",COUNTIF(D86:L86,"Y")&amp;"/9")</f>
        <v/>
      </c>
      <c r="N86" s="34" t="str">
        <f aca="false">IF(B86="","",IF(COUNTIF(D86:L86,"Y")=9,"GO","NO-GO"))</f>
        <v/>
      </c>
      <c r="O86" s="31"/>
    </row>
    <row r="87" customFormat="false" ht="15" hidden="false" customHeight="false" outlineLevel="0" collapsed="false">
      <c r="A87" s="18"/>
      <c r="B87" s="31"/>
      <c r="C87" s="31"/>
      <c r="D87" s="32"/>
      <c r="E87" s="32"/>
      <c r="F87" s="32"/>
      <c r="G87" s="32"/>
      <c r="H87" s="32"/>
      <c r="I87" s="32"/>
      <c r="J87" s="32"/>
      <c r="K87" s="32"/>
      <c r="L87" s="32"/>
      <c r="M87" s="33" t="str">
        <f aca="false">IF(B87="","",COUNTIF(D87:L87,"Y")&amp;"/9")</f>
        <v/>
      </c>
      <c r="N87" s="34" t="str">
        <f aca="false">IF(B87="","",IF(COUNTIF(D87:L87,"Y")=9,"GO","NO-GO"))</f>
        <v/>
      </c>
      <c r="O87" s="31"/>
    </row>
    <row r="88" customFormat="false" ht="15" hidden="false" customHeight="false" outlineLevel="0" collapsed="false">
      <c r="A88" s="18"/>
      <c r="B88" s="31"/>
      <c r="C88" s="31"/>
      <c r="D88" s="32"/>
      <c r="E88" s="32"/>
      <c r="F88" s="32"/>
      <c r="G88" s="32"/>
      <c r="H88" s="32"/>
      <c r="I88" s="32"/>
      <c r="J88" s="32"/>
      <c r="K88" s="32"/>
      <c r="L88" s="32"/>
      <c r="M88" s="33" t="str">
        <f aca="false">IF(B88="","",COUNTIF(D88:L88,"Y")&amp;"/9")</f>
        <v/>
      </c>
      <c r="N88" s="34" t="str">
        <f aca="false">IF(B88="","",IF(COUNTIF(D88:L88,"Y")=9,"GO","NO-GO"))</f>
        <v/>
      </c>
      <c r="O88" s="31"/>
    </row>
    <row r="89" customFormat="false" ht="15" hidden="false" customHeight="false" outlineLevel="0" collapsed="false">
      <c r="A89" s="18"/>
      <c r="B89" s="31"/>
      <c r="C89" s="31"/>
      <c r="D89" s="32"/>
      <c r="E89" s="32"/>
      <c r="F89" s="32"/>
      <c r="G89" s="32"/>
      <c r="H89" s="32"/>
      <c r="I89" s="32"/>
      <c r="J89" s="32"/>
      <c r="K89" s="32"/>
      <c r="L89" s="32"/>
      <c r="M89" s="33" t="str">
        <f aca="false">IF(B89="","",COUNTIF(D89:L89,"Y")&amp;"/9")</f>
        <v/>
      </c>
      <c r="N89" s="34" t="str">
        <f aca="false">IF(B89="","",IF(COUNTIF(D89:L89,"Y")=9,"GO","NO-GO"))</f>
        <v/>
      </c>
      <c r="O89" s="31"/>
    </row>
    <row r="90" customFormat="false" ht="15" hidden="false" customHeight="false" outlineLevel="0" collapsed="false">
      <c r="A90" s="18"/>
      <c r="B90" s="31"/>
      <c r="C90" s="31"/>
      <c r="D90" s="32"/>
      <c r="E90" s="32"/>
      <c r="F90" s="32"/>
      <c r="G90" s="32"/>
      <c r="H90" s="32"/>
      <c r="I90" s="32"/>
      <c r="J90" s="32"/>
      <c r="K90" s="32"/>
      <c r="L90" s="32"/>
      <c r="M90" s="33" t="str">
        <f aca="false">IF(B90="","",COUNTIF(D90:L90,"Y")&amp;"/9")</f>
        <v/>
      </c>
      <c r="N90" s="34" t="str">
        <f aca="false">IF(B90="","",IF(COUNTIF(D90:L90,"Y")=9,"GO","NO-GO"))</f>
        <v/>
      </c>
      <c r="O90" s="31"/>
    </row>
    <row r="91" customFormat="false" ht="15" hidden="false" customHeight="false" outlineLevel="0" collapsed="false">
      <c r="A91" s="18"/>
      <c r="B91" s="31"/>
      <c r="C91" s="31"/>
      <c r="D91" s="32"/>
      <c r="E91" s="32"/>
      <c r="F91" s="32"/>
      <c r="G91" s="32"/>
      <c r="H91" s="32"/>
      <c r="I91" s="32"/>
      <c r="J91" s="32"/>
      <c r="K91" s="32"/>
      <c r="L91" s="32"/>
      <c r="M91" s="33" t="str">
        <f aca="false">IF(B91="","",COUNTIF(D91:L91,"Y")&amp;"/9")</f>
        <v/>
      </c>
      <c r="N91" s="34" t="str">
        <f aca="false">IF(B91="","",IF(COUNTIF(D91:L91,"Y")=9,"GO","NO-GO"))</f>
        <v/>
      </c>
      <c r="O91" s="31"/>
    </row>
    <row r="92" customFormat="false" ht="15" hidden="false" customHeight="false" outlineLevel="0" collapsed="false">
      <c r="A92" s="18"/>
      <c r="B92" s="31"/>
      <c r="C92" s="31"/>
      <c r="D92" s="32"/>
      <c r="E92" s="32"/>
      <c r="F92" s="32"/>
      <c r="G92" s="32"/>
      <c r="H92" s="32"/>
      <c r="I92" s="32"/>
      <c r="J92" s="32"/>
      <c r="K92" s="32"/>
      <c r="L92" s="32"/>
      <c r="M92" s="33" t="str">
        <f aca="false">IF(B92="","",COUNTIF(D92:L92,"Y")&amp;"/9")</f>
        <v/>
      </c>
      <c r="N92" s="34" t="str">
        <f aca="false">IF(B92="","",IF(COUNTIF(D92:L92,"Y")=9,"GO","NO-GO"))</f>
        <v/>
      </c>
      <c r="O92" s="31"/>
    </row>
    <row r="93" customFormat="false" ht="15" hidden="false" customHeight="false" outlineLevel="0" collapsed="false">
      <c r="A93" s="18"/>
      <c r="B93" s="31"/>
      <c r="C93" s="31"/>
      <c r="D93" s="32"/>
      <c r="E93" s="32"/>
      <c r="F93" s="32"/>
      <c r="G93" s="32"/>
      <c r="H93" s="32"/>
      <c r="I93" s="32"/>
      <c r="J93" s="32"/>
      <c r="K93" s="32"/>
      <c r="L93" s="32"/>
      <c r="M93" s="33" t="str">
        <f aca="false">IF(B93="","",COUNTIF(D93:L93,"Y")&amp;"/9")</f>
        <v/>
      </c>
      <c r="N93" s="34" t="str">
        <f aca="false">IF(B93="","",IF(COUNTIF(D93:L93,"Y")=9,"GO","NO-GO"))</f>
        <v/>
      </c>
      <c r="O93" s="31"/>
    </row>
    <row r="94" customFormat="false" ht="15" hidden="false" customHeight="false" outlineLevel="0" collapsed="false">
      <c r="A94" s="18"/>
      <c r="B94" s="31"/>
      <c r="C94" s="31"/>
      <c r="D94" s="32"/>
      <c r="E94" s="32"/>
      <c r="F94" s="32"/>
      <c r="G94" s="32"/>
      <c r="H94" s="32"/>
      <c r="I94" s="32"/>
      <c r="J94" s="32"/>
      <c r="K94" s="32"/>
      <c r="L94" s="32"/>
      <c r="M94" s="33" t="str">
        <f aca="false">IF(B94="","",COUNTIF(D94:L94,"Y")&amp;"/9")</f>
        <v/>
      </c>
      <c r="N94" s="34" t="str">
        <f aca="false">IF(B94="","",IF(COUNTIF(D94:L94,"Y")=9,"GO","NO-GO"))</f>
        <v/>
      </c>
      <c r="O94" s="31"/>
    </row>
    <row r="95" customFormat="false" ht="15" hidden="false" customHeight="false" outlineLevel="0" collapsed="false">
      <c r="A95" s="18"/>
      <c r="B95" s="31"/>
      <c r="C95" s="31"/>
      <c r="D95" s="32"/>
      <c r="E95" s="32"/>
      <c r="F95" s="32"/>
      <c r="G95" s="32"/>
      <c r="H95" s="32"/>
      <c r="I95" s="32"/>
      <c r="J95" s="32"/>
      <c r="K95" s="32"/>
      <c r="L95" s="32"/>
      <c r="M95" s="33" t="str">
        <f aca="false">IF(B95="","",COUNTIF(D95:L95,"Y")&amp;"/9")</f>
        <v/>
      </c>
      <c r="N95" s="34" t="str">
        <f aca="false">IF(B95="","",IF(COUNTIF(D95:L95,"Y")=9,"GO","NO-GO"))</f>
        <v/>
      </c>
      <c r="O95" s="31"/>
    </row>
    <row r="96" customFormat="false" ht="15" hidden="false" customHeight="false" outlineLevel="0" collapsed="false">
      <c r="A96" s="18"/>
      <c r="B96" s="31"/>
      <c r="C96" s="31"/>
      <c r="D96" s="32"/>
      <c r="E96" s="32"/>
      <c r="F96" s="32"/>
      <c r="G96" s="32"/>
      <c r="H96" s="32"/>
      <c r="I96" s="32"/>
      <c r="J96" s="32"/>
      <c r="K96" s="32"/>
      <c r="L96" s="32"/>
      <c r="M96" s="33" t="str">
        <f aca="false">IF(B96="","",COUNTIF(D96:L96,"Y")&amp;"/9")</f>
        <v/>
      </c>
      <c r="N96" s="34" t="str">
        <f aca="false">IF(B96="","",IF(COUNTIF(D96:L96,"Y")=9,"GO","NO-GO"))</f>
        <v/>
      </c>
      <c r="O96" s="31"/>
    </row>
    <row r="97" customFormat="false" ht="15" hidden="false" customHeight="false" outlineLevel="0" collapsed="false">
      <c r="A97" s="18"/>
      <c r="B97" s="31"/>
      <c r="C97" s="31"/>
      <c r="D97" s="32"/>
      <c r="E97" s="32"/>
      <c r="F97" s="32"/>
      <c r="G97" s="32"/>
      <c r="H97" s="32"/>
      <c r="I97" s="32"/>
      <c r="J97" s="32"/>
      <c r="K97" s="32"/>
      <c r="L97" s="32"/>
      <c r="M97" s="33" t="str">
        <f aca="false">IF(B97="","",COUNTIF(D97:L97,"Y")&amp;"/9")</f>
        <v/>
      </c>
      <c r="N97" s="34" t="str">
        <f aca="false">IF(B97="","",IF(COUNTIF(D97:L97,"Y")=9,"GO","NO-GO"))</f>
        <v/>
      </c>
      <c r="O97" s="31"/>
    </row>
    <row r="98" customFormat="false" ht="15" hidden="false" customHeight="false" outlineLevel="0" collapsed="false">
      <c r="A98" s="18"/>
      <c r="B98" s="31"/>
      <c r="C98" s="31"/>
      <c r="D98" s="32"/>
      <c r="E98" s="32"/>
      <c r="F98" s="32"/>
      <c r="G98" s="32"/>
      <c r="H98" s="32"/>
      <c r="I98" s="32"/>
      <c r="J98" s="32"/>
      <c r="K98" s="32"/>
      <c r="L98" s="32"/>
      <c r="M98" s="33" t="str">
        <f aca="false">IF(B98="","",COUNTIF(D98:L98,"Y")&amp;"/9")</f>
        <v/>
      </c>
      <c r="N98" s="34" t="str">
        <f aca="false">IF(B98="","",IF(COUNTIF(D98:L98,"Y")=9,"GO","NO-GO"))</f>
        <v/>
      </c>
      <c r="O98" s="31"/>
    </row>
    <row r="99" customFormat="false" ht="15" hidden="false" customHeight="false" outlineLevel="0" collapsed="false">
      <c r="A99" s="18"/>
      <c r="B99" s="31"/>
      <c r="C99" s="31"/>
      <c r="D99" s="32"/>
      <c r="E99" s="32"/>
      <c r="F99" s="32"/>
      <c r="G99" s="32"/>
      <c r="H99" s="32"/>
      <c r="I99" s="32"/>
      <c r="J99" s="32"/>
      <c r="K99" s="32"/>
      <c r="L99" s="32"/>
      <c r="M99" s="33" t="str">
        <f aca="false">IF(B99="","",COUNTIF(D99:L99,"Y")&amp;"/9")</f>
        <v/>
      </c>
      <c r="N99" s="34" t="str">
        <f aca="false">IF(B99="","",IF(COUNTIF(D99:L99,"Y")=9,"GO","NO-GO"))</f>
        <v/>
      </c>
      <c r="O99" s="31"/>
    </row>
    <row r="100" customFormat="false" ht="15" hidden="false" customHeight="false" outlineLevel="0" collapsed="false">
      <c r="A100" s="18"/>
      <c r="B100" s="31"/>
      <c r="C100" s="31"/>
      <c r="D100" s="32"/>
      <c r="E100" s="32"/>
      <c r="F100" s="32"/>
      <c r="G100" s="32"/>
      <c r="H100" s="32"/>
      <c r="I100" s="32"/>
      <c r="J100" s="32"/>
      <c r="K100" s="32"/>
      <c r="L100" s="32"/>
      <c r="M100" s="33" t="str">
        <f aca="false">IF(B100="","",COUNTIF(D100:L100,"Y")&amp;"/9")</f>
        <v/>
      </c>
      <c r="N100" s="34" t="str">
        <f aca="false">IF(B100="","",IF(COUNTIF(D100:L100,"Y")=9,"GO","NO-GO"))</f>
        <v/>
      </c>
      <c r="O100" s="31"/>
    </row>
    <row r="101" customFormat="false" ht="15" hidden="false" customHeight="false" outlineLevel="0" collapsed="false">
      <c r="A101" s="18"/>
      <c r="B101" s="31"/>
      <c r="C101" s="31"/>
      <c r="D101" s="32"/>
      <c r="E101" s="32"/>
      <c r="F101" s="32"/>
      <c r="G101" s="32"/>
      <c r="H101" s="32"/>
      <c r="I101" s="32"/>
      <c r="J101" s="32"/>
      <c r="K101" s="32"/>
      <c r="L101" s="32"/>
      <c r="M101" s="33" t="str">
        <f aca="false">IF(B101="","",COUNTIF(D101:L101,"Y")&amp;"/9")</f>
        <v/>
      </c>
      <c r="N101" s="34" t="str">
        <f aca="false">IF(B101="","",IF(COUNTIF(D101:L101,"Y")=9,"GO","NO-GO"))</f>
        <v/>
      </c>
      <c r="O101" s="31"/>
    </row>
    <row r="102" customFormat="false" ht="15" hidden="false" customHeight="false" outlineLevel="0" collapsed="false">
      <c r="A102" s="18"/>
      <c r="B102" s="31"/>
      <c r="C102" s="31"/>
      <c r="D102" s="32"/>
      <c r="E102" s="32"/>
      <c r="F102" s="32"/>
      <c r="G102" s="32"/>
      <c r="H102" s="32"/>
      <c r="I102" s="32"/>
      <c r="J102" s="32"/>
      <c r="K102" s="32"/>
      <c r="L102" s="32"/>
      <c r="M102" s="33" t="str">
        <f aca="false">IF(B102="","",COUNTIF(D102:L102,"Y")&amp;"/9")</f>
        <v/>
      </c>
      <c r="N102" s="34" t="str">
        <f aca="false">IF(B102="","",IF(COUNTIF(D102:L102,"Y")=9,"GO","NO-GO"))</f>
        <v/>
      </c>
      <c r="O102" s="31"/>
    </row>
    <row r="103" customFormat="false" ht="15" hidden="false" customHeight="false" outlineLevel="0" collapsed="false">
      <c r="A103" s="18"/>
      <c r="B103" s="31"/>
      <c r="C103" s="31"/>
      <c r="D103" s="32"/>
      <c r="E103" s="32"/>
      <c r="F103" s="32"/>
      <c r="G103" s="32"/>
      <c r="H103" s="32"/>
      <c r="I103" s="32"/>
      <c r="J103" s="32"/>
      <c r="K103" s="32"/>
      <c r="L103" s="32"/>
      <c r="M103" s="33" t="str">
        <f aca="false">IF(B103="","",COUNTIF(D103:L103,"Y")&amp;"/9")</f>
        <v/>
      </c>
      <c r="N103" s="34" t="str">
        <f aca="false">IF(B103="","",IF(COUNTIF(D103:L103,"Y")=9,"GO","NO-GO"))</f>
        <v/>
      </c>
      <c r="O103" s="31"/>
    </row>
    <row r="104" customFormat="false" ht="15" hidden="false" customHeight="false" outlineLevel="0" collapsed="false">
      <c r="A104" s="18"/>
      <c r="B104" s="31"/>
      <c r="C104" s="31"/>
      <c r="D104" s="32"/>
      <c r="E104" s="32"/>
      <c r="F104" s="32"/>
      <c r="G104" s="32"/>
      <c r="H104" s="32"/>
      <c r="I104" s="32"/>
      <c r="J104" s="32"/>
      <c r="K104" s="32"/>
      <c r="L104" s="32"/>
      <c r="M104" s="33" t="str">
        <f aca="false">IF(B104="","",COUNTIF(D104:L104,"Y")&amp;"/9")</f>
        <v/>
      </c>
      <c r="N104" s="34" t="str">
        <f aca="false">IF(B104="","",IF(COUNTIF(D104:L104,"Y")=9,"GO","NO-GO"))</f>
        <v/>
      </c>
      <c r="O104" s="31"/>
    </row>
    <row r="105" customFormat="false" ht="15" hidden="false" customHeight="false" outlineLevel="0" collapsed="false">
      <c r="A105" s="18"/>
      <c r="B105" s="31"/>
      <c r="C105" s="31"/>
      <c r="D105" s="32"/>
      <c r="E105" s="32"/>
      <c r="F105" s="32"/>
      <c r="G105" s="32"/>
      <c r="H105" s="32"/>
      <c r="I105" s="32"/>
      <c r="J105" s="32"/>
      <c r="K105" s="32"/>
      <c r="L105" s="32"/>
      <c r="M105" s="33" t="str">
        <f aca="false">IF(B105="","",COUNTIF(D105:L105,"Y")&amp;"/9")</f>
        <v/>
      </c>
      <c r="N105" s="34" t="str">
        <f aca="false">IF(B105="","",IF(COUNTIF(D105:L105,"Y")=9,"GO","NO-GO"))</f>
        <v/>
      </c>
      <c r="O105" s="31"/>
    </row>
    <row r="106" customFormat="false" ht="15" hidden="false" customHeight="false" outlineLevel="0" collapsed="false">
      <c r="A106" s="18"/>
      <c r="B106" s="31"/>
      <c r="C106" s="31"/>
      <c r="D106" s="32"/>
      <c r="E106" s="32"/>
      <c r="F106" s="32"/>
      <c r="G106" s="32"/>
      <c r="H106" s="32"/>
      <c r="I106" s="32"/>
      <c r="J106" s="32"/>
      <c r="K106" s="32"/>
      <c r="L106" s="32"/>
      <c r="M106" s="33" t="str">
        <f aca="false">IF(B106="","",COUNTIF(D106:L106,"Y")&amp;"/9")</f>
        <v/>
      </c>
      <c r="N106" s="34" t="str">
        <f aca="false">IF(B106="","",IF(COUNTIF(D106:L106,"Y")=9,"GO","NO-GO"))</f>
        <v/>
      </c>
      <c r="O106" s="31"/>
    </row>
    <row r="107" customFormat="false" ht="15" hidden="false" customHeight="false" outlineLevel="0" collapsed="false">
      <c r="A107" s="18"/>
      <c r="B107" s="31"/>
      <c r="C107" s="31"/>
      <c r="D107" s="32"/>
      <c r="E107" s="32"/>
      <c r="F107" s="32"/>
      <c r="G107" s="32"/>
      <c r="H107" s="32"/>
      <c r="I107" s="32"/>
      <c r="J107" s="32"/>
      <c r="K107" s="32"/>
      <c r="L107" s="32"/>
      <c r="M107" s="33" t="str">
        <f aca="false">IF(B107="","",COUNTIF(D107:L107,"Y")&amp;"/9")</f>
        <v/>
      </c>
      <c r="N107" s="34" t="str">
        <f aca="false">IF(B107="","",IF(COUNTIF(D107:L107,"Y")=9,"GO","NO-GO"))</f>
        <v/>
      </c>
      <c r="O107" s="31"/>
    </row>
    <row r="108" customFormat="false" ht="15" hidden="false" customHeight="false" outlineLevel="0" collapsed="false">
      <c r="A108" s="18"/>
      <c r="B108" s="31"/>
      <c r="C108" s="31"/>
      <c r="D108" s="32"/>
      <c r="E108" s="32"/>
      <c r="F108" s="32"/>
      <c r="G108" s="32"/>
      <c r="H108" s="32"/>
      <c r="I108" s="32"/>
      <c r="J108" s="32"/>
      <c r="K108" s="32"/>
      <c r="L108" s="32"/>
      <c r="M108" s="33" t="str">
        <f aca="false">IF(B108="","",COUNTIF(D108:L108,"Y")&amp;"/9")</f>
        <v/>
      </c>
      <c r="N108" s="34" t="str">
        <f aca="false">IF(B108="","",IF(COUNTIF(D108:L108,"Y")=9,"GO","NO-GO"))</f>
        <v/>
      </c>
      <c r="O108" s="31"/>
    </row>
    <row r="109" customFormat="false" ht="15" hidden="false" customHeight="false" outlineLevel="0" collapsed="false">
      <c r="A109" s="18"/>
      <c r="B109" s="31"/>
      <c r="C109" s="31"/>
      <c r="D109" s="32"/>
      <c r="E109" s="32"/>
      <c r="F109" s="32"/>
      <c r="G109" s="32"/>
      <c r="H109" s="32"/>
      <c r="I109" s="32"/>
      <c r="J109" s="32"/>
      <c r="K109" s="32"/>
      <c r="L109" s="32"/>
      <c r="M109" s="33" t="str">
        <f aca="false">IF(B109="","",COUNTIF(D109:L109,"Y")&amp;"/9")</f>
        <v/>
      </c>
      <c r="N109" s="34" t="str">
        <f aca="false">IF(B109="","",IF(COUNTIF(D109:L109,"Y")=9,"GO","NO-GO"))</f>
        <v/>
      </c>
      <c r="O109" s="31"/>
    </row>
    <row r="110" customFormat="false" ht="15" hidden="false" customHeight="false" outlineLevel="0" collapsed="false">
      <c r="A110" s="18"/>
      <c r="B110" s="31"/>
      <c r="C110" s="31"/>
      <c r="D110" s="32"/>
      <c r="E110" s="32"/>
      <c r="F110" s="32"/>
      <c r="G110" s="32"/>
      <c r="H110" s="32"/>
      <c r="I110" s="32"/>
      <c r="J110" s="32"/>
      <c r="K110" s="32"/>
      <c r="L110" s="32"/>
      <c r="M110" s="33" t="str">
        <f aca="false">IF(B110="","",COUNTIF(D110:L110,"Y")&amp;"/9")</f>
        <v/>
      </c>
      <c r="N110" s="34" t="str">
        <f aca="false">IF(B110="","",IF(COUNTIF(D110:L110,"Y")=9,"GO","NO-GO"))</f>
        <v/>
      </c>
      <c r="O110" s="31"/>
    </row>
    <row r="111" customFormat="false" ht="15" hidden="false" customHeight="false" outlineLevel="0" collapsed="false">
      <c r="A111" s="18"/>
      <c r="B111" s="31"/>
      <c r="C111" s="31"/>
      <c r="D111" s="32"/>
      <c r="E111" s="32"/>
      <c r="F111" s="32"/>
      <c r="G111" s="32"/>
      <c r="H111" s="32"/>
      <c r="I111" s="32"/>
      <c r="J111" s="32"/>
      <c r="K111" s="32"/>
      <c r="L111" s="32"/>
      <c r="M111" s="33" t="str">
        <f aca="false">IF(B111="","",COUNTIF(D111:L111,"Y")&amp;"/9")</f>
        <v/>
      </c>
      <c r="N111" s="34" t="str">
        <f aca="false">IF(B111="","",IF(COUNTIF(D111:L111,"Y")=9,"GO","NO-GO"))</f>
        <v/>
      </c>
      <c r="O111" s="31"/>
    </row>
    <row r="112" customFormat="false" ht="15" hidden="false" customHeight="false" outlineLevel="0" collapsed="false">
      <c r="A112" s="18"/>
      <c r="B112" s="31"/>
      <c r="C112" s="31"/>
      <c r="D112" s="32"/>
      <c r="E112" s="32"/>
      <c r="F112" s="32"/>
      <c r="G112" s="32"/>
      <c r="H112" s="32"/>
      <c r="I112" s="32"/>
      <c r="J112" s="32"/>
      <c r="K112" s="32"/>
      <c r="L112" s="32"/>
      <c r="M112" s="33" t="str">
        <f aca="false">IF(B112="","",COUNTIF(D112:L112,"Y")&amp;"/9")</f>
        <v/>
      </c>
      <c r="N112" s="34" t="str">
        <f aca="false">IF(B112="","",IF(COUNTIF(D112:L112,"Y")=9,"GO","NO-GO"))</f>
        <v/>
      </c>
      <c r="O112" s="31"/>
    </row>
    <row r="113" customFormat="false" ht="15" hidden="false" customHeight="false" outlineLevel="0" collapsed="false">
      <c r="A113" s="18"/>
      <c r="B113" s="31"/>
      <c r="C113" s="31"/>
      <c r="D113" s="32"/>
      <c r="E113" s="32"/>
      <c r="F113" s="32"/>
      <c r="G113" s="32"/>
      <c r="H113" s="32"/>
      <c r="I113" s="32"/>
      <c r="J113" s="32"/>
      <c r="K113" s="32"/>
      <c r="L113" s="32"/>
      <c r="M113" s="33" t="str">
        <f aca="false">IF(B113="","",COUNTIF(D113:L113,"Y")&amp;"/9")</f>
        <v/>
      </c>
      <c r="N113" s="34" t="str">
        <f aca="false">IF(B113="","",IF(COUNTIF(D113:L113,"Y")=9,"GO","NO-GO"))</f>
        <v/>
      </c>
      <c r="O113" s="31"/>
    </row>
    <row r="114" customFormat="false" ht="15" hidden="false" customHeight="false" outlineLevel="0" collapsed="false">
      <c r="A114" s="18"/>
      <c r="B114" s="31"/>
      <c r="C114" s="31"/>
      <c r="D114" s="32"/>
      <c r="E114" s="32"/>
      <c r="F114" s="32"/>
      <c r="G114" s="32"/>
      <c r="H114" s="32"/>
      <c r="I114" s="32"/>
      <c r="J114" s="32"/>
      <c r="K114" s="32"/>
      <c r="L114" s="32"/>
      <c r="M114" s="33" t="str">
        <f aca="false">IF(B114="","",COUNTIF(D114:L114,"Y")&amp;"/9")</f>
        <v/>
      </c>
      <c r="N114" s="34" t="str">
        <f aca="false">IF(B114="","",IF(COUNTIF(D114:L114,"Y")=9,"GO","NO-GO"))</f>
        <v/>
      </c>
      <c r="O114" s="31"/>
    </row>
    <row r="115" customFormat="false" ht="15" hidden="false" customHeight="false" outlineLevel="0" collapsed="false">
      <c r="A115" s="18"/>
      <c r="B115" s="31"/>
      <c r="C115" s="31"/>
      <c r="D115" s="32"/>
      <c r="E115" s="32"/>
      <c r="F115" s="32"/>
      <c r="G115" s="32"/>
      <c r="H115" s="32"/>
      <c r="I115" s="32"/>
      <c r="J115" s="32"/>
      <c r="K115" s="32"/>
      <c r="L115" s="32"/>
      <c r="M115" s="33" t="str">
        <f aca="false">IF(B115="","",COUNTIF(D115:L115,"Y")&amp;"/9")</f>
        <v/>
      </c>
      <c r="N115" s="34" t="str">
        <f aca="false">IF(B115="","",IF(COUNTIF(D115:L115,"Y")=9,"GO","NO-GO"))</f>
        <v/>
      </c>
      <c r="O115" s="31"/>
    </row>
    <row r="116" customFormat="false" ht="15" hidden="false" customHeight="false" outlineLevel="0" collapsed="false">
      <c r="A116" s="18"/>
      <c r="B116" s="31"/>
      <c r="C116" s="31"/>
      <c r="D116" s="32"/>
      <c r="E116" s="32"/>
      <c r="F116" s="32"/>
      <c r="G116" s="32"/>
      <c r="H116" s="32"/>
      <c r="I116" s="32"/>
      <c r="J116" s="32"/>
      <c r="K116" s="32"/>
      <c r="L116" s="32"/>
      <c r="M116" s="33" t="str">
        <f aca="false">IF(B116="","",COUNTIF(D116:L116,"Y")&amp;"/9")</f>
        <v/>
      </c>
      <c r="N116" s="34" t="str">
        <f aca="false">IF(B116="","",IF(COUNTIF(D116:L116,"Y")=9,"GO","NO-GO"))</f>
        <v/>
      </c>
      <c r="O116" s="31"/>
    </row>
    <row r="117" customFormat="false" ht="15" hidden="false" customHeight="false" outlineLevel="0" collapsed="false">
      <c r="A117" s="18"/>
      <c r="B117" s="31"/>
      <c r="C117" s="31"/>
      <c r="D117" s="32"/>
      <c r="E117" s="32"/>
      <c r="F117" s="32"/>
      <c r="G117" s="32"/>
      <c r="H117" s="32"/>
      <c r="I117" s="32"/>
      <c r="J117" s="32"/>
      <c r="K117" s="32"/>
      <c r="L117" s="32"/>
      <c r="M117" s="33" t="str">
        <f aca="false">IF(B117="","",COUNTIF(D117:L117,"Y")&amp;"/9")</f>
        <v/>
      </c>
      <c r="N117" s="34" t="str">
        <f aca="false">IF(B117="","",IF(COUNTIF(D117:L117,"Y")=9,"GO","NO-GO"))</f>
        <v/>
      </c>
      <c r="O117" s="31"/>
    </row>
    <row r="118" customFormat="false" ht="15" hidden="false" customHeight="false" outlineLevel="0" collapsed="false">
      <c r="A118" s="18"/>
      <c r="B118" s="31"/>
      <c r="C118" s="31"/>
      <c r="D118" s="32"/>
      <c r="E118" s="32"/>
      <c r="F118" s="32"/>
      <c r="G118" s="32"/>
      <c r="H118" s="32"/>
      <c r="I118" s="32"/>
      <c r="J118" s="32"/>
      <c r="K118" s="32"/>
      <c r="L118" s="32"/>
      <c r="M118" s="33" t="str">
        <f aca="false">IF(B118="","",COUNTIF(D118:L118,"Y")&amp;"/9")</f>
        <v/>
      </c>
      <c r="N118" s="34" t="str">
        <f aca="false">IF(B118="","",IF(COUNTIF(D118:L118,"Y")=9,"GO","NO-GO"))</f>
        <v/>
      </c>
      <c r="O118" s="31"/>
    </row>
    <row r="119" customFormat="false" ht="15" hidden="false" customHeight="false" outlineLevel="0" collapsed="false">
      <c r="A119" s="18"/>
      <c r="B119" s="31"/>
      <c r="C119" s="31"/>
      <c r="D119" s="32"/>
      <c r="E119" s="32"/>
      <c r="F119" s="32"/>
      <c r="G119" s="32"/>
      <c r="H119" s="32"/>
      <c r="I119" s="32"/>
      <c r="J119" s="32"/>
      <c r="K119" s="32"/>
      <c r="L119" s="32"/>
      <c r="M119" s="33" t="str">
        <f aca="false">IF(B119="","",COUNTIF(D119:L119,"Y")&amp;"/9")</f>
        <v/>
      </c>
      <c r="N119" s="34" t="str">
        <f aca="false">IF(B119="","",IF(COUNTIF(D119:L119,"Y")=9,"GO","NO-GO"))</f>
        <v/>
      </c>
      <c r="O119" s="31"/>
    </row>
    <row r="120" customFormat="false" ht="15" hidden="false" customHeight="false" outlineLevel="0" collapsed="false">
      <c r="A120" s="18"/>
      <c r="B120" s="31"/>
      <c r="C120" s="31"/>
      <c r="D120" s="32"/>
      <c r="E120" s="32"/>
      <c r="F120" s="32"/>
      <c r="G120" s="32"/>
      <c r="H120" s="32"/>
      <c r="I120" s="32"/>
      <c r="J120" s="32"/>
      <c r="K120" s="32"/>
      <c r="L120" s="32"/>
      <c r="M120" s="33" t="str">
        <f aca="false">IF(B120="","",COUNTIF(D120:L120,"Y")&amp;"/9")</f>
        <v/>
      </c>
      <c r="N120" s="34" t="str">
        <f aca="false">IF(B120="","",IF(COUNTIF(D120:L120,"Y")=9,"GO","NO-GO"))</f>
        <v/>
      </c>
      <c r="O120" s="31"/>
    </row>
    <row r="121" customFormat="false" ht="15" hidden="false" customHeight="false" outlineLevel="0" collapsed="false">
      <c r="A121" s="18"/>
      <c r="B121" s="31"/>
      <c r="C121" s="31"/>
      <c r="D121" s="32"/>
      <c r="E121" s="32"/>
      <c r="F121" s="32"/>
      <c r="G121" s="32"/>
      <c r="H121" s="32"/>
      <c r="I121" s="32"/>
      <c r="J121" s="32"/>
      <c r="K121" s="32"/>
      <c r="L121" s="32"/>
      <c r="M121" s="33" t="str">
        <f aca="false">IF(B121="","",COUNTIF(D121:L121,"Y")&amp;"/9")</f>
        <v/>
      </c>
      <c r="N121" s="34" t="str">
        <f aca="false">IF(B121="","",IF(COUNTIF(D121:L121,"Y")=9,"GO","NO-GO"))</f>
        <v/>
      </c>
      <c r="O121" s="31"/>
    </row>
    <row r="122" customFormat="false" ht="15" hidden="false" customHeight="false" outlineLevel="0" collapsed="false">
      <c r="A122" s="18"/>
      <c r="B122" s="31"/>
      <c r="C122" s="31"/>
      <c r="D122" s="32"/>
      <c r="E122" s="32"/>
      <c r="F122" s="32"/>
      <c r="G122" s="32"/>
      <c r="H122" s="32"/>
      <c r="I122" s="32"/>
      <c r="J122" s="32"/>
      <c r="K122" s="32"/>
      <c r="L122" s="32"/>
      <c r="M122" s="33" t="str">
        <f aca="false">IF(B122="","",COUNTIF(D122:L122,"Y")&amp;"/9")</f>
        <v/>
      </c>
      <c r="N122" s="34" t="str">
        <f aca="false">IF(B122="","",IF(COUNTIF(D122:L122,"Y")=9,"GO","NO-GO"))</f>
        <v/>
      </c>
      <c r="O122" s="31"/>
    </row>
    <row r="123" customFormat="false" ht="15" hidden="false" customHeight="false" outlineLevel="0" collapsed="false">
      <c r="A123" s="18"/>
      <c r="B123" s="31"/>
      <c r="C123" s="31"/>
      <c r="D123" s="32"/>
      <c r="E123" s="32"/>
      <c r="F123" s="32"/>
      <c r="G123" s="32"/>
      <c r="H123" s="32"/>
      <c r="I123" s="32"/>
      <c r="J123" s="32"/>
      <c r="K123" s="32"/>
      <c r="L123" s="32"/>
      <c r="M123" s="33" t="str">
        <f aca="false">IF(B123="","",COUNTIF(D123:L123,"Y")&amp;"/9")</f>
        <v/>
      </c>
      <c r="N123" s="34" t="str">
        <f aca="false">IF(B123="","",IF(COUNTIF(D123:L123,"Y")=9,"GO","NO-GO"))</f>
        <v/>
      </c>
      <c r="O123" s="31"/>
    </row>
    <row r="124" customFormat="false" ht="15" hidden="false" customHeight="false" outlineLevel="0" collapsed="false">
      <c r="A124" s="18"/>
      <c r="B124" s="31"/>
      <c r="C124" s="31"/>
      <c r="D124" s="32"/>
      <c r="E124" s="32"/>
      <c r="F124" s="32"/>
      <c r="G124" s="32"/>
      <c r="H124" s="32"/>
      <c r="I124" s="32"/>
      <c r="J124" s="32"/>
      <c r="K124" s="32"/>
      <c r="L124" s="32"/>
      <c r="M124" s="33" t="str">
        <f aca="false">IF(B124="","",COUNTIF(D124:L124,"Y")&amp;"/9")</f>
        <v/>
      </c>
      <c r="N124" s="34" t="str">
        <f aca="false">IF(B124="","",IF(COUNTIF(D124:L124,"Y")=9,"GO","NO-GO"))</f>
        <v/>
      </c>
      <c r="O124" s="31"/>
    </row>
    <row r="125" customFormat="false" ht="15" hidden="false" customHeight="false" outlineLevel="0" collapsed="false">
      <c r="A125" s="18"/>
      <c r="B125" s="31"/>
      <c r="C125" s="31"/>
      <c r="D125" s="32"/>
      <c r="E125" s="32"/>
      <c r="F125" s="32"/>
      <c r="G125" s="32"/>
      <c r="H125" s="32"/>
      <c r="I125" s="32"/>
      <c r="J125" s="32"/>
      <c r="K125" s="32"/>
      <c r="L125" s="32"/>
      <c r="M125" s="33" t="str">
        <f aca="false">IF(B125="","",COUNTIF(D125:L125,"Y")&amp;"/9")</f>
        <v/>
      </c>
      <c r="N125" s="34" t="str">
        <f aca="false">IF(B125="","",IF(COUNTIF(D125:L125,"Y")=9,"GO","NO-GO"))</f>
        <v/>
      </c>
      <c r="O125" s="31"/>
    </row>
    <row r="126" customFormat="false" ht="15" hidden="false" customHeight="false" outlineLevel="0" collapsed="false">
      <c r="A126" s="18"/>
      <c r="B126" s="31"/>
      <c r="C126" s="31"/>
      <c r="D126" s="32"/>
      <c r="E126" s="32"/>
      <c r="F126" s="32"/>
      <c r="G126" s="32"/>
      <c r="H126" s="32"/>
      <c r="I126" s="32"/>
      <c r="J126" s="32"/>
      <c r="K126" s="32"/>
      <c r="L126" s="32"/>
      <c r="M126" s="33" t="str">
        <f aca="false">IF(B126="","",COUNTIF(D126:L126,"Y")&amp;"/9")</f>
        <v/>
      </c>
      <c r="N126" s="34" t="str">
        <f aca="false">IF(B126="","",IF(COUNTIF(D126:L126,"Y")=9,"GO","NO-GO"))</f>
        <v/>
      </c>
      <c r="O126" s="31"/>
    </row>
    <row r="127" customFormat="false" ht="15" hidden="false" customHeight="false" outlineLevel="0" collapsed="false">
      <c r="A127" s="18"/>
      <c r="B127" s="31"/>
      <c r="C127" s="31"/>
      <c r="D127" s="32"/>
      <c r="E127" s="32"/>
      <c r="F127" s="32"/>
      <c r="G127" s="32"/>
      <c r="H127" s="32"/>
      <c r="I127" s="32"/>
      <c r="J127" s="32"/>
      <c r="K127" s="32"/>
      <c r="L127" s="32"/>
      <c r="M127" s="33" t="str">
        <f aca="false">IF(B127="","",COUNTIF(D127:L127,"Y")&amp;"/9")</f>
        <v/>
      </c>
      <c r="N127" s="34" t="str">
        <f aca="false">IF(B127="","",IF(COUNTIF(D127:L127,"Y")=9,"GO","NO-GO"))</f>
        <v/>
      </c>
      <c r="O127" s="31"/>
    </row>
    <row r="128" customFormat="false" ht="15" hidden="false" customHeight="false" outlineLevel="0" collapsed="false">
      <c r="A128" s="18"/>
      <c r="B128" s="31"/>
      <c r="C128" s="31"/>
      <c r="D128" s="32"/>
      <c r="E128" s="32"/>
      <c r="F128" s="32"/>
      <c r="G128" s="32"/>
      <c r="H128" s="32"/>
      <c r="I128" s="32"/>
      <c r="J128" s="32"/>
      <c r="K128" s="32"/>
      <c r="L128" s="32"/>
      <c r="M128" s="33" t="str">
        <f aca="false">IF(B128="","",COUNTIF(D128:L128,"Y")&amp;"/9")</f>
        <v/>
      </c>
      <c r="N128" s="34" t="str">
        <f aca="false">IF(B128="","",IF(COUNTIF(D128:L128,"Y")=9,"GO","NO-GO"))</f>
        <v/>
      </c>
      <c r="O128" s="31"/>
    </row>
    <row r="129" customFormat="false" ht="15" hidden="false" customHeight="false" outlineLevel="0" collapsed="false">
      <c r="A129" s="18"/>
      <c r="B129" s="31"/>
      <c r="C129" s="31"/>
      <c r="D129" s="32"/>
      <c r="E129" s="32"/>
      <c r="F129" s="32"/>
      <c r="G129" s="32"/>
      <c r="H129" s="32"/>
      <c r="I129" s="32"/>
      <c r="J129" s="32"/>
      <c r="K129" s="32"/>
      <c r="L129" s="32"/>
      <c r="M129" s="33" t="str">
        <f aca="false">IF(B129="","",COUNTIF(D129:L129,"Y")&amp;"/9")</f>
        <v/>
      </c>
      <c r="N129" s="34" t="str">
        <f aca="false">IF(B129="","",IF(COUNTIF(D129:L129,"Y")=9,"GO","NO-GO"))</f>
        <v/>
      </c>
      <c r="O129" s="31"/>
    </row>
    <row r="130" customFormat="false" ht="15" hidden="false" customHeight="false" outlineLevel="0" collapsed="false">
      <c r="A130" s="18"/>
      <c r="B130" s="31"/>
      <c r="C130" s="31"/>
      <c r="D130" s="32"/>
      <c r="E130" s="32"/>
      <c r="F130" s="32"/>
      <c r="G130" s="32"/>
      <c r="H130" s="32"/>
      <c r="I130" s="32"/>
      <c r="J130" s="32"/>
      <c r="K130" s="32"/>
      <c r="L130" s="32"/>
      <c r="M130" s="33" t="str">
        <f aca="false">IF(B130="","",COUNTIF(D130:L130,"Y")&amp;"/9")</f>
        <v/>
      </c>
      <c r="N130" s="34" t="str">
        <f aca="false">IF(B130="","",IF(COUNTIF(D130:L130,"Y")=9,"GO","NO-GO"))</f>
        <v/>
      </c>
      <c r="O130" s="31"/>
    </row>
    <row r="131" customFormat="false" ht="15" hidden="false" customHeight="false" outlineLevel="0" collapsed="false">
      <c r="A131" s="18"/>
      <c r="B131" s="31"/>
      <c r="C131" s="31"/>
      <c r="D131" s="32"/>
      <c r="E131" s="32"/>
      <c r="F131" s="32"/>
      <c r="G131" s="32"/>
      <c r="H131" s="32"/>
      <c r="I131" s="32"/>
      <c r="J131" s="32"/>
      <c r="K131" s="32"/>
      <c r="L131" s="32"/>
      <c r="M131" s="33" t="str">
        <f aca="false">IF(B131="","",COUNTIF(D131:L131,"Y")&amp;"/9")</f>
        <v/>
      </c>
      <c r="N131" s="34" t="str">
        <f aca="false">IF(B131="","",IF(COUNTIF(D131:L131,"Y")=9,"GO","NO-GO"))</f>
        <v/>
      </c>
      <c r="O131" s="31"/>
    </row>
    <row r="132" customFormat="false" ht="15" hidden="false" customHeight="false" outlineLevel="0" collapsed="false">
      <c r="A132" s="18"/>
      <c r="B132" s="31"/>
      <c r="C132" s="31"/>
      <c r="D132" s="32"/>
      <c r="E132" s="32"/>
      <c r="F132" s="32"/>
      <c r="G132" s="32"/>
      <c r="H132" s="32"/>
      <c r="I132" s="32"/>
      <c r="J132" s="32"/>
      <c r="K132" s="32"/>
      <c r="L132" s="32"/>
      <c r="M132" s="33" t="str">
        <f aca="false">IF(B132="","",COUNTIF(D132:L132,"Y")&amp;"/9")</f>
        <v/>
      </c>
      <c r="N132" s="34" t="str">
        <f aca="false">IF(B132="","",IF(COUNTIF(D132:L132,"Y")=9,"GO","NO-GO"))</f>
        <v/>
      </c>
      <c r="O132" s="31"/>
    </row>
    <row r="133" customFormat="false" ht="15" hidden="false" customHeight="false" outlineLevel="0" collapsed="false">
      <c r="A133" s="18"/>
      <c r="B133" s="31"/>
      <c r="C133" s="31"/>
      <c r="D133" s="32"/>
      <c r="E133" s="32"/>
      <c r="F133" s="32"/>
      <c r="G133" s="32"/>
      <c r="H133" s="32"/>
      <c r="I133" s="32"/>
      <c r="J133" s="32"/>
      <c r="K133" s="32"/>
      <c r="L133" s="32"/>
      <c r="M133" s="33" t="str">
        <f aca="false">IF(B133="","",COUNTIF(D133:L133,"Y")&amp;"/9")</f>
        <v/>
      </c>
      <c r="N133" s="34" t="str">
        <f aca="false">IF(B133="","",IF(COUNTIF(D133:L133,"Y")=9,"GO","NO-GO"))</f>
        <v/>
      </c>
      <c r="O133" s="31"/>
    </row>
    <row r="134" customFormat="false" ht="15" hidden="false" customHeight="false" outlineLevel="0" collapsed="false">
      <c r="A134" s="18"/>
      <c r="B134" s="31"/>
      <c r="C134" s="31"/>
      <c r="D134" s="32"/>
      <c r="E134" s="32"/>
      <c r="F134" s="32"/>
      <c r="G134" s="32"/>
      <c r="H134" s="32"/>
      <c r="I134" s="32"/>
      <c r="J134" s="32"/>
      <c r="K134" s="32"/>
      <c r="L134" s="32"/>
      <c r="M134" s="33" t="str">
        <f aca="false">IF(B134="","",COUNTIF(D134:L134,"Y")&amp;"/9")</f>
        <v/>
      </c>
      <c r="N134" s="34" t="str">
        <f aca="false">IF(B134="","",IF(COUNTIF(D134:L134,"Y")=9,"GO","NO-GO"))</f>
        <v/>
      </c>
      <c r="O134" s="31"/>
    </row>
    <row r="135" customFormat="false" ht="15" hidden="false" customHeight="false" outlineLevel="0" collapsed="false">
      <c r="A135" s="18"/>
      <c r="B135" s="31"/>
      <c r="C135" s="31"/>
      <c r="D135" s="32"/>
      <c r="E135" s="32"/>
      <c r="F135" s="32"/>
      <c r="G135" s="32"/>
      <c r="H135" s="32"/>
      <c r="I135" s="32"/>
      <c r="J135" s="32"/>
      <c r="K135" s="32"/>
      <c r="L135" s="32"/>
      <c r="M135" s="33" t="str">
        <f aca="false">IF(B135="","",COUNTIF(D135:L135,"Y")&amp;"/9")</f>
        <v/>
      </c>
      <c r="N135" s="34" t="str">
        <f aca="false">IF(B135="","",IF(COUNTIF(D135:L135,"Y")=9,"GO","NO-GO"))</f>
        <v/>
      </c>
      <c r="O135" s="31"/>
    </row>
    <row r="136" customFormat="false" ht="15" hidden="false" customHeight="false" outlineLevel="0" collapsed="false">
      <c r="A136" s="18"/>
      <c r="B136" s="31"/>
      <c r="C136" s="31"/>
      <c r="D136" s="32"/>
      <c r="E136" s="32"/>
      <c r="F136" s="32"/>
      <c r="G136" s="32"/>
      <c r="H136" s="32"/>
      <c r="I136" s="32"/>
      <c r="J136" s="32"/>
      <c r="K136" s="32"/>
      <c r="L136" s="32"/>
      <c r="M136" s="33" t="str">
        <f aca="false">IF(B136="","",COUNTIF(D136:L136,"Y")&amp;"/9")</f>
        <v/>
      </c>
      <c r="N136" s="34" t="str">
        <f aca="false">IF(B136="","",IF(COUNTIF(D136:L136,"Y")=9,"GO","NO-GO"))</f>
        <v/>
      </c>
      <c r="O136" s="31"/>
    </row>
    <row r="137" customFormat="false" ht="15" hidden="false" customHeight="false" outlineLevel="0" collapsed="false">
      <c r="A137" s="18"/>
      <c r="B137" s="31"/>
      <c r="C137" s="31"/>
      <c r="D137" s="32"/>
      <c r="E137" s="32"/>
      <c r="F137" s="32"/>
      <c r="G137" s="32"/>
      <c r="H137" s="32"/>
      <c r="I137" s="32"/>
      <c r="J137" s="32"/>
      <c r="K137" s="32"/>
      <c r="L137" s="32"/>
      <c r="M137" s="33" t="str">
        <f aca="false">IF(B137="","",COUNTIF(D137:L137,"Y")&amp;"/9")</f>
        <v/>
      </c>
      <c r="N137" s="34" t="str">
        <f aca="false">IF(B137="","",IF(COUNTIF(D137:L137,"Y")=9,"GO","NO-GO"))</f>
        <v/>
      </c>
      <c r="O137" s="31"/>
    </row>
    <row r="138" customFormat="false" ht="15" hidden="false" customHeight="false" outlineLevel="0" collapsed="false">
      <c r="A138" s="18"/>
      <c r="B138" s="31"/>
      <c r="C138" s="31"/>
      <c r="D138" s="32"/>
      <c r="E138" s="32"/>
      <c r="F138" s="32"/>
      <c r="G138" s="32"/>
      <c r="H138" s="32"/>
      <c r="I138" s="32"/>
      <c r="J138" s="32"/>
      <c r="K138" s="32"/>
      <c r="L138" s="32"/>
      <c r="M138" s="33" t="str">
        <f aca="false">IF(B138="","",COUNTIF(D138:L138,"Y")&amp;"/9")</f>
        <v/>
      </c>
      <c r="N138" s="34" t="str">
        <f aca="false">IF(B138="","",IF(COUNTIF(D138:L138,"Y")=9,"GO","NO-GO"))</f>
        <v/>
      </c>
      <c r="O138" s="31"/>
    </row>
    <row r="139" customFormat="false" ht="15" hidden="false" customHeight="false" outlineLevel="0" collapsed="false">
      <c r="A139" s="18"/>
      <c r="B139" s="31"/>
      <c r="C139" s="31"/>
      <c r="D139" s="32"/>
      <c r="E139" s="32"/>
      <c r="F139" s="32"/>
      <c r="G139" s="32"/>
      <c r="H139" s="32"/>
      <c r="I139" s="32"/>
      <c r="J139" s="32"/>
      <c r="K139" s="32"/>
      <c r="L139" s="32"/>
      <c r="M139" s="33" t="str">
        <f aca="false">IF(B139="","",COUNTIF(D139:L139,"Y")&amp;"/9")</f>
        <v/>
      </c>
      <c r="N139" s="34" t="str">
        <f aca="false">IF(B139="","",IF(COUNTIF(D139:L139,"Y")=9,"GO","NO-GO"))</f>
        <v/>
      </c>
      <c r="O139" s="31"/>
    </row>
    <row r="140" customFormat="false" ht="15" hidden="false" customHeight="false" outlineLevel="0" collapsed="false">
      <c r="A140" s="18"/>
      <c r="B140" s="31"/>
      <c r="C140" s="31"/>
      <c r="D140" s="32"/>
      <c r="E140" s="32"/>
      <c r="F140" s="32"/>
      <c r="G140" s="32"/>
      <c r="H140" s="32"/>
      <c r="I140" s="32"/>
      <c r="J140" s="32"/>
      <c r="K140" s="32"/>
      <c r="L140" s="32"/>
      <c r="M140" s="33" t="str">
        <f aca="false">IF(B140="","",COUNTIF(D140:L140,"Y")&amp;"/9")</f>
        <v/>
      </c>
      <c r="N140" s="34" t="str">
        <f aca="false">IF(B140="","",IF(COUNTIF(D140:L140,"Y")=9,"GO","NO-GO"))</f>
        <v/>
      </c>
      <c r="O140" s="31"/>
    </row>
    <row r="141" customFormat="false" ht="15" hidden="false" customHeight="false" outlineLevel="0" collapsed="false">
      <c r="A141" s="18"/>
      <c r="B141" s="31"/>
      <c r="C141" s="31"/>
      <c r="D141" s="32"/>
      <c r="E141" s="32"/>
      <c r="F141" s="32"/>
      <c r="G141" s="32"/>
      <c r="H141" s="32"/>
      <c r="I141" s="32"/>
      <c r="J141" s="32"/>
      <c r="K141" s="32"/>
      <c r="L141" s="32"/>
      <c r="M141" s="33" t="str">
        <f aca="false">IF(B141="","",COUNTIF(D141:L141,"Y")&amp;"/9")</f>
        <v/>
      </c>
      <c r="N141" s="34" t="str">
        <f aca="false">IF(B141="","",IF(COUNTIF(D141:L141,"Y")=9,"GO","NO-GO"))</f>
        <v/>
      </c>
      <c r="O141" s="31"/>
    </row>
    <row r="142" customFormat="false" ht="15" hidden="false" customHeight="false" outlineLevel="0" collapsed="false">
      <c r="A142" s="18"/>
      <c r="B142" s="31"/>
      <c r="C142" s="31"/>
      <c r="D142" s="32"/>
      <c r="E142" s="32"/>
      <c r="F142" s="32"/>
      <c r="G142" s="32"/>
      <c r="H142" s="32"/>
      <c r="I142" s="32"/>
      <c r="J142" s="32"/>
      <c r="K142" s="32"/>
      <c r="L142" s="32"/>
      <c r="M142" s="33" t="str">
        <f aca="false">IF(B142="","",COUNTIF(D142:L142,"Y")&amp;"/9")</f>
        <v/>
      </c>
      <c r="N142" s="34" t="str">
        <f aca="false">IF(B142="","",IF(COUNTIF(D142:L142,"Y")=9,"GO","NO-GO"))</f>
        <v/>
      </c>
      <c r="O142" s="31"/>
    </row>
    <row r="143" customFormat="false" ht="15" hidden="false" customHeight="false" outlineLevel="0" collapsed="false">
      <c r="A143" s="18"/>
      <c r="B143" s="31"/>
      <c r="C143" s="31"/>
      <c r="D143" s="32"/>
      <c r="E143" s="32"/>
      <c r="F143" s="32"/>
      <c r="G143" s="32"/>
      <c r="H143" s="32"/>
      <c r="I143" s="32"/>
      <c r="J143" s="32"/>
      <c r="K143" s="32"/>
      <c r="L143" s="32"/>
      <c r="M143" s="33" t="str">
        <f aca="false">IF(B143="","",COUNTIF(D143:L143,"Y")&amp;"/9")</f>
        <v/>
      </c>
      <c r="N143" s="34" t="str">
        <f aca="false">IF(B143="","",IF(COUNTIF(D143:L143,"Y")=9,"GO","NO-GO"))</f>
        <v/>
      </c>
      <c r="O143" s="31"/>
    </row>
    <row r="144" customFormat="false" ht="15" hidden="false" customHeight="false" outlineLevel="0" collapsed="false">
      <c r="A144" s="18"/>
      <c r="B144" s="31"/>
      <c r="C144" s="31"/>
      <c r="D144" s="32"/>
      <c r="E144" s="32"/>
      <c r="F144" s="32"/>
      <c r="G144" s="32"/>
      <c r="H144" s="32"/>
      <c r="I144" s="32"/>
      <c r="J144" s="32"/>
      <c r="K144" s="32"/>
      <c r="L144" s="32"/>
      <c r="M144" s="33" t="str">
        <f aca="false">IF(B144="","",COUNTIF(D144:L144,"Y")&amp;"/9")</f>
        <v/>
      </c>
      <c r="N144" s="34" t="str">
        <f aca="false">IF(B144="","",IF(COUNTIF(D144:L144,"Y")=9,"GO","NO-GO"))</f>
        <v/>
      </c>
      <c r="O144" s="31"/>
    </row>
    <row r="145" customFormat="false" ht="15" hidden="false" customHeight="false" outlineLevel="0" collapsed="false">
      <c r="A145" s="18"/>
      <c r="B145" s="31"/>
      <c r="C145" s="31"/>
      <c r="D145" s="32"/>
      <c r="E145" s="32"/>
      <c r="F145" s="32"/>
      <c r="G145" s="32"/>
      <c r="H145" s="32"/>
      <c r="I145" s="32"/>
      <c r="J145" s="32"/>
      <c r="K145" s="32"/>
      <c r="L145" s="32"/>
      <c r="M145" s="33" t="str">
        <f aca="false">IF(B145="","",COUNTIF(D145:L145,"Y")&amp;"/9")</f>
        <v/>
      </c>
      <c r="N145" s="34" t="str">
        <f aca="false">IF(B145="","",IF(COUNTIF(D145:L145,"Y")=9,"GO","NO-GO"))</f>
        <v/>
      </c>
      <c r="O145" s="31"/>
    </row>
    <row r="146" customFormat="false" ht="15" hidden="false" customHeight="false" outlineLevel="0" collapsed="false">
      <c r="A146" s="18"/>
      <c r="B146" s="31"/>
      <c r="C146" s="31"/>
      <c r="D146" s="32"/>
      <c r="E146" s="32"/>
      <c r="F146" s="32"/>
      <c r="G146" s="32"/>
      <c r="H146" s="32"/>
      <c r="I146" s="32"/>
      <c r="J146" s="32"/>
      <c r="K146" s="32"/>
      <c r="L146" s="32"/>
      <c r="M146" s="33" t="str">
        <f aca="false">IF(B146="","",COUNTIF(D146:L146,"Y")&amp;"/9")</f>
        <v/>
      </c>
      <c r="N146" s="34" t="str">
        <f aca="false">IF(B146="","",IF(COUNTIF(D146:L146,"Y")=9,"GO","NO-GO"))</f>
        <v/>
      </c>
      <c r="O146" s="31"/>
    </row>
    <row r="147" customFormat="false" ht="15" hidden="false" customHeight="false" outlineLevel="0" collapsed="false">
      <c r="A147" s="18"/>
      <c r="B147" s="31"/>
      <c r="C147" s="31"/>
      <c r="D147" s="32"/>
      <c r="E147" s="32"/>
      <c r="F147" s="32"/>
      <c r="G147" s="32"/>
      <c r="H147" s="32"/>
      <c r="I147" s="32"/>
      <c r="J147" s="32"/>
      <c r="K147" s="32"/>
      <c r="L147" s="32"/>
      <c r="M147" s="33" t="str">
        <f aca="false">IF(B147="","",COUNTIF(D147:L147,"Y")&amp;"/9")</f>
        <v/>
      </c>
      <c r="N147" s="34" t="str">
        <f aca="false">IF(B147="","",IF(COUNTIF(D147:L147,"Y")=9,"GO","NO-GO"))</f>
        <v/>
      </c>
      <c r="O147" s="31"/>
    </row>
    <row r="148" customFormat="false" ht="15" hidden="false" customHeight="false" outlineLevel="0" collapsed="false">
      <c r="A148" s="18"/>
      <c r="B148" s="31"/>
      <c r="C148" s="31"/>
      <c r="D148" s="32"/>
      <c r="E148" s="32"/>
      <c r="F148" s="32"/>
      <c r="G148" s="32"/>
      <c r="H148" s="32"/>
      <c r="I148" s="32"/>
      <c r="J148" s="32"/>
      <c r="K148" s="32"/>
      <c r="L148" s="32"/>
      <c r="M148" s="33" t="str">
        <f aca="false">IF(B148="","",COUNTIF(D148:L148,"Y")&amp;"/9")</f>
        <v/>
      </c>
      <c r="N148" s="34" t="str">
        <f aca="false">IF(B148="","",IF(COUNTIF(D148:L148,"Y")=9,"GO","NO-GO"))</f>
        <v/>
      </c>
      <c r="O148" s="31"/>
    </row>
    <row r="149" customFormat="false" ht="15" hidden="false" customHeight="false" outlineLevel="0" collapsed="false">
      <c r="A149" s="18"/>
      <c r="B149" s="31"/>
      <c r="C149" s="31"/>
      <c r="D149" s="32"/>
      <c r="E149" s="32"/>
      <c r="F149" s="32"/>
      <c r="G149" s="32"/>
      <c r="H149" s="32"/>
      <c r="I149" s="32"/>
      <c r="J149" s="32"/>
      <c r="K149" s="32"/>
      <c r="L149" s="32"/>
      <c r="M149" s="33" t="str">
        <f aca="false">IF(B149="","",COUNTIF(D149:L149,"Y")&amp;"/9")</f>
        <v/>
      </c>
      <c r="N149" s="34" t="str">
        <f aca="false">IF(B149="","",IF(COUNTIF(D149:L149,"Y")=9,"GO","NO-GO"))</f>
        <v/>
      </c>
      <c r="O149" s="31"/>
    </row>
    <row r="150" customFormat="false" ht="15" hidden="false" customHeight="false" outlineLevel="0" collapsed="false">
      <c r="A150" s="18"/>
      <c r="B150" s="31"/>
      <c r="C150" s="31"/>
      <c r="D150" s="32"/>
      <c r="E150" s="32"/>
      <c r="F150" s="32"/>
      <c r="G150" s="32"/>
      <c r="H150" s="32"/>
      <c r="I150" s="32"/>
      <c r="J150" s="32"/>
      <c r="K150" s="32"/>
      <c r="L150" s="32"/>
      <c r="M150" s="33" t="str">
        <f aca="false">IF(B150="","",COUNTIF(D150:L150,"Y")&amp;"/9")</f>
        <v/>
      </c>
      <c r="N150" s="34" t="str">
        <f aca="false">IF(B150="","",IF(COUNTIF(D150:L150,"Y")=9,"GO","NO-GO"))</f>
        <v/>
      </c>
      <c r="O150" s="31"/>
    </row>
    <row r="151" customFormat="false" ht="15" hidden="false" customHeight="false" outlineLevel="0" collapsed="false">
      <c r="A151" s="18"/>
      <c r="B151" s="31"/>
      <c r="C151" s="31"/>
      <c r="D151" s="32"/>
      <c r="E151" s="32"/>
      <c r="F151" s="32"/>
      <c r="G151" s="32"/>
      <c r="H151" s="32"/>
      <c r="I151" s="32"/>
      <c r="J151" s="32"/>
      <c r="K151" s="32"/>
      <c r="L151" s="32"/>
      <c r="M151" s="33" t="str">
        <f aca="false">IF(B151="","",COUNTIF(D151:L151,"Y")&amp;"/9")</f>
        <v/>
      </c>
      <c r="N151" s="34" t="str">
        <f aca="false">IF(B151="","",IF(COUNTIF(D151:L151,"Y")=9,"GO","NO-GO"))</f>
        <v/>
      </c>
      <c r="O151" s="31"/>
    </row>
    <row r="152" customFormat="false" ht="15" hidden="false" customHeight="false" outlineLevel="0" collapsed="false">
      <c r="A152" s="18"/>
      <c r="B152" s="31"/>
      <c r="C152" s="31"/>
      <c r="D152" s="32"/>
      <c r="E152" s="32"/>
      <c r="F152" s="32"/>
      <c r="G152" s="32"/>
      <c r="H152" s="32"/>
      <c r="I152" s="32"/>
      <c r="J152" s="32"/>
      <c r="K152" s="32"/>
      <c r="L152" s="32"/>
      <c r="M152" s="33" t="str">
        <f aca="false">IF(B152="","",COUNTIF(D152:L152,"Y")&amp;"/9")</f>
        <v/>
      </c>
      <c r="N152" s="34" t="str">
        <f aca="false">IF(B152="","",IF(COUNTIF(D152:L152,"Y")=9,"GO","NO-GO"))</f>
        <v/>
      </c>
      <c r="O152" s="31"/>
    </row>
    <row r="153" customFormat="false" ht="15" hidden="false" customHeight="false" outlineLevel="0" collapsed="false">
      <c r="A153" s="18"/>
      <c r="B153" s="31"/>
      <c r="C153" s="31"/>
      <c r="D153" s="32"/>
      <c r="E153" s="32"/>
      <c r="F153" s="32"/>
      <c r="G153" s="32"/>
      <c r="H153" s="32"/>
      <c r="I153" s="32"/>
      <c r="J153" s="32"/>
      <c r="K153" s="32"/>
      <c r="L153" s="32"/>
      <c r="M153" s="33" t="str">
        <f aca="false">IF(B153="","",COUNTIF(D153:L153,"Y")&amp;"/9")</f>
        <v/>
      </c>
      <c r="N153" s="34" t="str">
        <f aca="false">IF(B153="","",IF(COUNTIF(D153:L153,"Y")=9,"GO","NO-GO"))</f>
        <v/>
      </c>
      <c r="O153" s="31"/>
    </row>
    <row r="154" customFormat="false" ht="15" hidden="false" customHeight="false" outlineLevel="0" collapsed="false">
      <c r="A154" s="18"/>
      <c r="B154" s="31"/>
      <c r="C154" s="31"/>
      <c r="D154" s="32"/>
      <c r="E154" s="32"/>
      <c r="F154" s="32"/>
      <c r="G154" s="32"/>
      <c r="H154" s="32"/>
      <c r="I154" s="32"/>
      <c r="J154" s="32"/>
      <c r="K154" s="32"/>
      <c r="L154" s="32"/>
      <c r="M154" s="33" t="str">
        <f aca="false">IF(B154="","",COUNTIF(D154:L154,"Y")&amp;"/9")</f>
        <v/>
      </c>
      <c r="N154" s="34" t="str">
        <f aca="false">IF(B154="","",IF(COUNTIF(D154:L154,"Y")=9,"GO","NO-GO"))</f>
        <v/>
      </c>
      <c r="O154" s="31"/>
    </row>
    <row r="155" customFormat="false" ht="15" hidden="false" customHeight="false" outlineLevel="0" collapsed="false">
      <c r="A155" s="18"/>
      <c r="B155" s="31"/>
      <c r="C155" s="31"/>
      <c r="D155" s="32"/>
      <c r="E155" s="32"/>
      <c r="F155" s="32"/>
      <c r="G155" s="32"/>
      <c r="H155" s="32"/>
      <c r="I155" s="32"/>
      <c r="J155" s="32"/>
      <c r="K155" s="32"/>
      <c r="L155" s="32"/>
      <c r="M155" s="33" t="str">
        <f aca="false">IF(B155="","",COUNTIF(D155:L155,"Y")&amp;"/9")</f>
        <v/>
      </c>
      <c r="N155" s="34" t="str">
        <f aca="false">IF(B155="","",IF(COUNTIF(D155:L155,"Y")=9,"GO","NO-GO"))</f>
        <v/>
      </c>
      <c r="O155" s="31"/>
    </row>
    <row r="156" customFormat="false" ht="15" hidden="false" customHeight="false" outlineLevel="0" collapsed="false">
      <c r="A156" s="18"/>
      <c r="B156" s="31"/>
      <c r="C156" s="31"/>
      <c r="D156" s="32"/>
      <c r="E156" s="32"/>
      <c r="F156" s="32"/>
      <c r="G156" s="32"/>
      <c r="H156" s="32"/>
      <c r="I156" s="32"/>
      <c r="J156" s="32"/>
      <c r="K156" s="32"/>
      <c r="L156" s="32"/>
      <c r="M156" s="33" t="str">
        <f aca="false">IF(B156="","",COUNTIF(D156:L156,"Y")&amp;"/9")</f>
        <v/>
      </c>
      <c r="N156" s="34" t="str">
        <f aca="false">IF(B156="","",IF(COUNTIF(D156:L156,"Y")=9,"GO","NO-GO"))</f>
        <v/>
      </c>
      <c r="O156" s="31"/>
    </row>
    <row r="157" customFormat="false" ht="15" hidden="false" customHeight="false" outlineLevel="0" collapsed="false">
      <c r="A157" s="18"/>
      <c r="B157" s="31"/>
      <c r="C157" s="31"/>
      <c r="D157" s="32"/>
      <c r="E157" s="32"/>
      <c r="F157" s="32"/>
      <c r="G157" s="32"/>
      <c r="H157" s="32"/>
      <c r="I157" s="32"/>
      <c r="J157" s="32"/>
      <c r="K157" s="32"/>
      <c r="L157" s="32"/>
      <c r="M157" s="33" t="str">
        <f aca="false">IF(B157="","",COUNTIF(D157:L157,"Y")&amp;"/9")</f>
        <v/>
      </c>
      <c r="N157" s="34" t="str">
        <f aca="false">IF(B157="","",IF(COUNTIF(D157:L157,"Y")=9,"GO","NO-GO"))</f>
        <v/>
      </c>
      <c r="O157" s="31"/>
    </row>
    <row r="158" customFormat="false" ht="15" hidden="false" customHeight="false" outlineLevel="0" collapsed="false">
      <c r="A158" s="18"/>
      <c r="B158" s="31"/>
      <c r="C158" s="31"/>
      <c r="D158" s="32"/>
      <c r="E158" s="32"/>
      <c r="F158" s="32"/>
      <c r="G158" s="32"/>
      <c r="H158" s="32"/>
      <c r="I158" s="32"/>
      <c r="J158" s="32"/>
      <c r="K158" s="32"/>
      <c r="L158" s="32"/>
      <c r="M158" s="33" t="str">
        <f aca="false">IF(B158="","",COUNTIF(D158:L158,"Y")&amp;"/9")</f>
        <v/>
      </c>
      <c r="N158" s="34" t="str">
        <f aca="false">IF(B158="","",IF(COUNTIF(D158:L158,"Y")=9,"GO","NO-GO"))</f>
        <v/>
      </c>
      <c r="O158" s="31"/>
    </row>
    <row r="159" customFormat="false" ht="15" hidden="false" customHeight="false" outlineLevel="0" collapsed="false">
      <c r="A159" s="18"/>
      <c r="B159" s="31"/>
      <c r="C159" s="31"/>
      <c r="D159" s="32"/>
      <c r="E159" s="32"/>
      <c r="F159" s="32"/>
      <c r="G159" s="32"/>
      <c r="H159" s="32"/>
      <c r="I159" s="32"/>
      <c r="J159" s="32"/>
      <c r="K159" s="32"/>
      <c r="L159" s="32"/>
      <c r="M159" s="33" t="str">
        <f aca="false">IF(B159="","",COUNTIF(D159:L159,"Y")&amp;"/9")</f>
        <v/>
      </c>
      <c r="N159" s="34" t="str">
        <f aca="false">IF(B159="","",IF(COUNTIF(D159:L159,"Y")=9,"GO","NO-GO"))</f>
        <v/>
      </c>
      <c r="O159" s="31"/>
    </row>
    <row r="160" customFormat="false" ht="15" hidden="false" customHeight="false" outlineLevel="0" collapsed="false">
      <c r="A160" s="18"/>
      <c r="B160" s="31"/>
      <c r="C160" s="31"/>
      <c r="D160" s="32"/>
      <c r="E160" s="32"/>
      <c r="F160" s="32"/>
      <c r="G160" s="32"/>
      <c r="H160" s="32"/>
      <c r="I160" s="32"/>
      <c r="J160" s="32"/>
      <c r="K160" s="32"/>
      <c r="L160" s="32"/>
      <c r="M160" s="33" t="str">
        <f aca="false">IF(B160="","",COUNTIF(D160:L160,"Y")&amp;"/9")</f>
        <v/>
      </c>
      <c r="N160" s="34" t="str">
        <f aca="false">IF(B160="","",IF(COUNTIF(D160:L160,"Y")=9,"GO","NO-GO"))</f>
        <v/>
      </c>
      <c r="O160" s="31"/>
    </row>
    <row r="161" customFormat="false" ht="15" hidden="false" customHeight="false" outlineLevel="0" collapsed="false">
      <c r="A161" s="18"/>
      <c r="B161" s="31"/>
      <c r="C161" s="31"/>
      <c r="D161" s="32"/>
      <c r="E161" s="32"/>
      <c r="F161" s="32"/>
      <c r="G161" s="32"/>
      <c r="H161" s="32"/>
      <c r="I161" s="32"/>
      <c r="J161" s="32"/>
      <c r="K161" s="32"/>
      <c r="L161" s="32"/>
      <c r="M161" s="33" t="str">
        <f aca="false">IF(B161="","",COUNTIF(D161:L161,"Y")&amp;"/9")</f>
        <v/>
      </c>
      <c r="N161" s="34" t="str">
        <f aca="false">IF(B161="","",IF(COUNTIF(D161:L161,"Y")=9,"GO","NO-GO"))</f>
        <v/>
      </c>
      <c r="O161" s="31"/>
    </row>
    <row r="162" customFormat="false" ht="15" hidden="false" customHeight="false" outlineLevel="0" collapsed="false">
      <c r="A162" s="18"/>
      <c r="B162" s="31"/>
      <c r="C162" s="31"/>
      <c r="D162" s="32"/>
      <c r="E162" s="32"/>
      <c r="F162" s="32"/>
      <c r="G162" s="32"/>
      <c r="H162" s="32"/>
      <c r="I162" s="32"/>
      <c r="J162" s="32"/>
      <c r="K162" s="32"/>
      <c r="L162" s="32"/>
      <c r="M162" s="33" t="str">
        <f aca="false">IF(B162="","",COUNTIF(D162:L162,"Y")&amp;"/9")</f>
        <v/>
      </c>
      <c r="N162" s="34" t="str">
        <f aca="false">IF(B162="","",IF(COUNTIF(D162:L162,"Y")=9,"GO","NO-GO"))</f>
        <v/>
      </c>
      <c r="O162" s="31"/>
    </row>
    <row r="163" customFormat="false" ht="15" hidden="false" customHeight="false" outlineLevel="0" collapsed="false">
      <c r="A163" s="18"/>
      <c r="B163" s="31"/>
      <c r="C163" s="31"/>
      <c r="D163" s="32"/>
      <c r="E163" s="32"/>
      <c r="F163" s="32"/>
      <c r="G163" s="32"/>
      <c r="H163" s="32"/>
      <c r="I163" s="32"/>
      <c r="J163" s="32"/>
      <c r="K163" s="32"/>
      <c r="L163" s="32"/>
      <c r="M163" s="33" t="str">
        <f aca="false">IF(B163="","",COUNTIF(D163:L163,"Y")&amp;"/9")</f>
        <v/>
      </c>
      <c r="N163" s="34" t="str">
        <f aca="false">IF(B163="","",IF(COUNTIF(D163:L163,"Y")=9,"GO","NO-GO"))</f>
        <v/>
      </c>
      <c r="O163" s="31"/>
    </row>
    <row r="164" customFormat="false" ht="15" hidden="false" customHeight="false" outlineLevel="0" collapsed="false">
      <c r="A164" s="18"/>
      <c r="B164" s="31"/>
      <c r="C164" s="31"/>
      <c r="D164" s="32"/>
      <c r="E164" s="32"/>
      <c r="F164" s="32"/>
      <c r="G164" s="32"/>
      <c r="H164" s="32"/>
      <c r="I164" s="32"/>
      <c r="J164" s="32"/>
      <c r="K164" s="32"/>
      <c r="L164" s="32"/>
      <c r="M164" s="33" t="str">
        <f aca="false">IF(B164="","",COUNTIF(D164:L164,"Y")&amp;"/9")</f>
        <v/>
      </c>
      <c r="N164" s="34" t="str">
        <f aca="false">IF(B164="","",IF(COUNTIF(D164:L164,"Y")=9,"GO","NO-GO"))</f>
        <v/>
      </c>
      <c r="O164" s="31"/>
    </row>
    <row r="165" customFormat="false" ht="15" hidden="false" customHeight="false" outlineLevel="0" collapsed="false">
      <c r="A165" s="18"/>
      <c r="B165" s="31"/>
      <c r="C165" s="31"/>
      <c r="D165" s="32"/>
      <c r="E165" s="32"/>
      <c r="F165" s="32"/>
      <c r="G165" s="32"/>
      <c r="H165" s="32"/>
      <c r="I165" s="32"/>
      <c r="J165" s="32"/>
      <c r="K165" s="32"/>
      <c r="L165" s="32"/>
      <c r="M165" s="33" t="str">
        <f aca="false">IF(B165="","",COUNTIF(D165:L165,"Y")&amp;"/9")</f>
        <v/>
      </c>
      <c r="N165" s="34" t="str">
        <f aca="false">IF(B165="","",IF(COUNTIF(D165:L165,"Y")=9,"GO","NO-GO"))</f>
        <v/>
      </c>
      <c r="O165" s="31"/>
    </row>
    <row r="166" customFormat="false" ht="15" hidden="false" customHeight="false" outlineLevel="0" collapsed="false">
      <c r="A166" s="18"/>
      <c r="B166" s="31"/>
      <c r="C166" s="31"/>
      <c r="D166" s="32"/>
      <c r="E166" s="32"/>
      <c r="F166" s="32"/>
      <c r="G166" s="32"/>
      <c r="H166" s="32"/>
      <c r="I166" s="32"/>
      <c r="J166" s="32"/>
      <c r="K166" s="32"/>
      <c r="L166" s="32"/>
      <c r="M166" s="33" t="str">
        <f aca="false">IF(B166="","",COUNTIF(D166:L166,"Y")&amp;"/9")</f>
        <v/>
      </c>
      <c r="N166" s="34" t="str">
        <f aca="false">IF(B166="","",IF(COUNTIF(D166:L166,"Y")=9,"GO","NO-GO"))</f>
        <v/>
      </c>
      <c r="O166" s="31"/>
    </row>
    <row r="167" customFormat="false" ht="15" hidden="false" customHeight="false" outlineLevel="0" collapsed="false">
      <c r="A167" s="18"/>
      <c r="B167" s="31"/>
      <c r="C167" s="31"/>
      <c r="D167" s="32"/>
      <c r="E167" s="32"/>
      <c r="F167" s="32"/>
      <c r="G167" s="32"/>
      <c r="H167" s="32"/>
      <c r="I167" s="32"/>
      <c r="J167" s="32"/>
      <c r="K167" s="32"/>
      <c r="L167" s="32"/>
      <c r="M167" s="33" t="str">
        <f aca="false">IF(B167="","",COUNTIF(D167:L167,"Y")&amp;"/9")</f>
        <v/>
      </c>
      <c r="N167" s="34" t="str">
        <f aca="false">IF(B167="","",IF(COUNTIF(D167:L167,"Y")=9,"GO","NO-GO"))</f>
        <v/>
      </c>
      <c r="O167" s="31"/>
    </row>
    <row r="168" customFormat="false" ht="15" hidden="false" customHeight="false" outlineLevel="0" collapsed="false">
      <c r="A168" s="18"/>
      <c r="B168" s="31"/>
      <c r="C168" s="31"/>
      <c r="D168" s="32"/>
      <c r="E168" s="32"/>
      <c r="F168" s="32"/>
      <c r="G168" s="32"/>
      <c r="H168" s="32"/>
      <c r="I168" s="32"/>
      <c r="J168" s="32"/>
      <c r="K168" s="32"/>
      <c r="L168" s="32"/>
      <c r="M168" s="33" t="str">
        <f aca="false">IF(B168="","",COUNTIF(D168:L168,"Y")&amp;"/9")</f>
        <v/>
      </c>
      <c r="N168" s="34" t="str">
        <f aca="false">IF(B168="","",IF(COUNTIF(D168:L168,"Y")=9,"GO","NO-GO"))</f>
        <v/>
      </c>
      <c r="O168" s="31"/>
    </row>
    <row r="169" customFormat="false" ht="15" hidden="false" customHeight="false" outlineLevel="0" collapsed="false">
      <c r="A169" s="18"/>
      <c r="B169" s="31"/>
      <c r="C169" s="31"/>
      <c r="D169" s="32"/>
      <c r="E169" s="32"/>
      <c r="F169" s="32"/>
      <c r="G169" s="32"/>
      <c r="H169" s="32"/>
      <c r="I169" s="32"/>
      <c r="J169" s="32"/>
      <c r="K169" s="32"/>
      <c r="L169" s="32"/>
      <c r="M169" s="33" t="str">
        <f aca="false">IF(B169="","",COUNTIF(D169:L169,"Y")&amp;"/9")</f>
        <v/>
      </c>
      <c r="N169" s="34" t="str">
        <f aca="false">IF(B169="","",IF(COUNTIF(D169:L169,"Y")=9,"GO","NO-GO"))</f>
        <v/>
      </c>
      <c r="O169" s="31"/>
    </row>
    <row r="170" customFormat="false" ht="15" hidden="false" customHeight="false" outlineLevel="0" collapsed="false">
      <c r="A170" s="18"/>
      <c r="B170" s="31"/>
      <c r="C170" s="31"/>
      <c r="D170" s="32"/>
      <c r="E170" s="32"/>
      <c r="F170" s="32"/>
      <c r="G170" s="32"/>
      <c r="H170" s="32"/>
      <c r="I170" s="32"/>
      <c r="J170" s="32"/>
      <c r="K170" s="32"/>
      <c r="L170" s="32"/>
      <c r="M170" s="33" t="str">
        <f aca="false">IF(B170="","",COUNTIF(D170:L170,"Y")&amp;"/9")</f>
        <v/>
      </c>
      <c r="N170" s="34" t="str">
        <f aca="false">IF(B170="","",IF(COUNTIF(D170:L170,"Y")=9,"GO","NO-GO"))</f>
        <v/>
      </c>
      <c r="O170" s="31"/>
    </row>
    <row r="171" customFormat="false" ht="15" hidden="false" customHeight="false" outlineLevel="0" collapsed="false">
      <c r="A171" s="18"/>
      <c r="B171" s="31"/>
      <c r="C171" s="31"/>
      <c r="D171" s="32"/>
      <c r="E171" s="32"/>
      <c r="F171" s="32"/>
      <c r="G171" s="32"/>
      <c r="H171" s="32"/>
      <c r="I171" s="32"/>
      <c r="J171" s="32"/>
      <c r="K171" s="32"/>
      <c r="L171" s="32"/>
      <c r="M171" s="33" t="str">
        <f aca="false">IF(B171="","",COUNTIF(D171:L171,"Y")&amp;"/9")</f>
        <v/>
      </c>
      <c r="N171" s="34" t="str">
        <f aca="false">IF(B171="","",IF(COUNTIF(D171:L171,"Y")=9,"GO","NO-GO"))</f>
        <v/>
      </c>
      <c r="O171" s="31"/>
    </row>
    <row r="172" customFormat="false" ht="15" hidden="false" customHeight="false" outlineLevel="0" collapsed="false">
      <c r="A172" s="18"/>
      <c r="B172" s="31"/>
      <c r="C172" s="31"/>
      <c r="D172" s="32"/>
      <c r="E172" s="32"/>
      <c r="F172" s="32"/>
      <c r="G172" s="32"/>
      <c r="H172" s="32"/>
      <c r="I172" s="32"/>
      <c r="J172" s="32"/>
      <c r="K172" s="32"/>
      <c r="L172" s="32"/>
      <c r="M172" s="33" t="str">
        <f aca="false">IF(B172="","",COUNTIF(D172:L172,"Y")&amp;"/9")</f>
        <v/>
      </c>
      <c r="N172" s="34" t="str">
        <f aca="false">IF(B172="","",IF(COUNTIF(D172:L172,"Y")=9,"GO","NO-GO"))</f>
        <v/>
      </c>
      <c r="O172" s="31"/>
    </row>
    <row r="173" customFormat="false" ht="15" hidden="false" customHeight="false" outlineLevel="0" collapsed="false">
      <c r="A173" s="18"/>
      <c r="B173" s="31"/>
      <c r="C173" s="31"/>
      <c r="D173" s="32"/>
      <c r="E173" s="32"/>
      <c r="F173" s="32"/>
      <c r="G173" s="32"/>
      <c r="H173" s="32"/>
      <c r="I173" s="32"/>
      <c r="J173" s="32"/>
      <c r="K173" s="32"/>
      <c r="L173" s="32"/>
      <c r="M173" s="33" t="str">
        <f aca="false">IF(B173="","",COUNTIF(D173:L173,"Y")&amp;"/9")</f>
        <v/>
      </c>
      <c r="N173" s="34" t="str">
        <f aca="false">IF(B173="","",IF(COUNTIF(D173:L173,"Y")=9,"GO","NO-GO"))</f>
        <v/>
      </c>
      <c r="O173" s="31"/>
    </row>
    <row r="174" customFormat="false" ht="15" hidden="false" customHeight="false" outlineLevel="0" collapsed="false">
      <c r="A174" s="18"/>
      <c r="B174" s="31"/>
      <c r="C174" s="31"/>
      <c r="D174" s="32"/>
      <c r="E174" s="32"/>
      <c r="F174" s="32"/>
      <c r="G174" s="32"/>
      <c r="H174" s="32"/>
      <c r="I174" s="32"/>
      <c r="J174" s="32"/>
      <c r="K174" s="32"/>
      <c r="L174" s="32"/>
      <c r="M174" s="33" t="str">
        <f aca="false">IF(B174="","",COUNTIF(D174:L174,"Y")&amp;"/9")</f>
        <v/>
      </c>
      <c r="N174" s="34" t="str">
        <f aca="false">IF(B174="","",IF(COUNTIF(D174:L174,"Y")=9,"GO","NO-GO"))</f>
        <v/>
      </c>
      <c r="O174" s="31"/>
    </row>
    <row r="175" customFormat="false" ht="15" hidden="false" customHeight="false" outlineLevel="0" collapsed="false">
      <c r="A175" s="18"/>
      <c r="B175" s="31"/>
      <c r="C175" s="31"/>
      <c r="D175" s="32"/>
      <c r="E175" s="32"/>
      <c r="F175" s="32"/>
      <c r="G175" s="32"/>
      <c r="H175" s="32"/>
      <c r="I175" s="32"/>
      <c r="J175" s="32"/>
      <c r="K175" s="32"/>
      <c r="L175" s="32"/>
      <c r="M175" s="33" t="str">
        <f aca="false">IF(B175="","",COUNTIF(D175:L175,"Y")&amp;"/9")</f>
        <v/>
      </c>
      <c r="N175" s="34" t="str">
        <f aca="false">IF(B175="","",IF(COUNTIF(D175:L175,"Y")=9,"GO","NO-GO"))</f>
        <v/>
      </c>
      <c r="O175" s="31"/>
    </row>
    <row r="176" customFormat="false" ht="15" hidden="false" customHeight="false" outlineLevel="0" collapsed="false">
      <c r="A176" s="18"/>
      <c r="B176" s="31"/>
      <c r="C176" s="31"/>
      <c r="D176" s="32"/>
      <c r="E176" s="32"/>
      <c r="F176" s="32"/>
      <c r="G176" s="32"/>
      <c r="H176" s="32"/>
      <c r="I176" s="32"/>
      <c r="J176" s="32"/>
      <c r="K176" s="32"/>
      <c r="L176" s="32"/>
      <c r="M176" s="33" t="str">
        <f aca="false">IF(B176="","",COUNTIF(D176:L176,"Y")&amp;"/9")</f>
        <v/>
      </c>
      <c r="N176" s="34" t="str">
        <f aca="false">IF(B176="","",IF(COUNTIF(D176:L176,"Y")=9,"GO","NO-GO"))</f>
        <v/>
      </c>
      <c r="O176" s="31"/>
    </row>
    <row r="177" customFormat="false" ht="15" hidden="false" customHeight="false" outlineLevel="0" collapsed="false">
      <c r="A177" s="18"/>
      <c r="B177" s="31"/>
      <c r="C177" s="31"/>
      <c r="D177" s="32"/>
      <c r="E177" s="32"/>
      <c r="F177" s="32"/>
      <c r="G177" s="32"/>
      <c r="H177" s="32"/>
      <c r="I177" s="32"/>
      <c r="J177" s="32"/>
      <c r="K177" s="32"/>
      <c r="L177" s="32"/>
      <c r="M177" s="33" t="str">
        <f aca="false">IF(B177="","",COUNTIF(D177:L177,"Y")&amp;"/9")</f>
        <v/>
      </c>
      <c r="N177" s="34" t="str">
        <f aca="false">IF(B177="","",IF(COUNTIF(D177:L177,"Y")=9,"GO","NO-GO"))</f>
        <v/>
      </c>
      <c r="O177" s="31"/>
    </row>
    <row r="178" customFormat="false" ht="15" hidden="false" customHeight="false" outlineLevel="0" collapsed="false">
      <c r="A178" s="18"/>
      <c r="B178" s="31"/>
      <c r="C178" s="31"/>
      <c r="D178" s="32"/>
      <c r="E178" s="32"/>
      <c r="F178" s="32"/>
      <c r="G178" s="32"/>
      <c r="H178" s="32"/>
      <c r="I178" s="32"/>
      <c r="J178" s="32"/>
      <c r="K178" s="32"/>
      <c r="L178" s="32"/>
      <c r="M178" s="33" t="str">
        <f aca="false">IF(B178="","",COUNTIF(D178:L178,"Y")&amp;"/9")</f>
        <v/>
      </c>
      <c r="N178" s="34" t="str">
        <f aca="false">IF(B178="","",IF(COUNTIF(D178:L178,"Y")=9,"GO","NO-GO"))</f>
        <v/>
      </c>
      <c r="O178" s="31"/>
    </row>
    <row r="179" customFormat="false" ht="15" hidden="false" customHeight="false" outlineLevel="0" collapsed="false">
      <c r="A179" s="18"/>
      <c r="B179" s="31"/>
      <c r="C179" s="31"/>
      <c r="D179" s="32"/>
      <c r="E179" s="32"/>
      <c r="F179" s="32"/>
      <c r="G179" s="32"/>
      <c r="H179" s="32"/>
      <c r="I179" s="32"/>
      <c r="J179" s="32"/>
      <c r="K179" s="32"/>
      <c r="L179" s="32"/>
      <c r="M179" s="33" t="str">
        <f aca="false">IF(B179="","",COUNTIF(D179:L179,"Y")&amp;"/9")</f>
        <v/>
      </c>
      <c r="N179" s="34" t="str">
        <f aca="false">IF(B179="","",IF(COUNTIF(D179:L179,"Y")=9,"GO","NO-GO"))</f>
        <v/>
      </c>
      <c r="O179" s="31"/>
    </row>
    <row r="180" customFormat="false" ht="15" hidden="false" customHeight="false" outlineLevel="0" collapsed="false">
      <c r="A180" s="18"/>
      <c r="B180" s="31"/>
      <c r="C180" s="31"/>
      <c r="D180" s="32"/>
      <c r="E180" s="32"/>
      <c r="F180" s="32"/>
      <c r="G180" s="32"/>
      <c r="H180" s="32"/>
      <c r="I180" s="32"/>
      <c r="J180" s="32"/>
      <c r="K180" s="32"/>
      <c r="L180" s="32"/>
      <c r="M180" s="33" t="str">
        <f aca="false">IF(B180="","",COUNTIF(D180:L180,"Y")&amp;"/9")</f>
        <v/>
      </c>
      <c r="N180" s="34" t="str">
        <f aca="false">IF(B180="","",IF(COUNTIF(D180:L180,"Y")=9,"GO","NO-GO"))</f>
        <v/>
      </c>
      <c r="O180" s="31"/>
    </row>
    <row r="181" customFormat="false" ht="15" hidden="false" customHeight="false" outlineLevel="0" collapsed="false">
      <c r="A181" s="18"/>
      <c r="B181" s="31"/>
      <c r="C181" s="31"/>
      <c r="D181" s="32"/>
      <c r="E181" s="32"/>
      <c r="F181" s="32"/>
      <c r="G181" s="32"/>
      <c r="H181" s="32"/>
      <c r="I181" s="32"/>
      <c r="J181" s="32"/>
      <c r="K181" s="32"/>
      <c r="L181" s="32"/>
      <c r="M181" s="33" t="str">
        <f aca="false">IF(B181="","",COUNTIF(D181:L181,"Y")&amp;"/9")</f>
        <v/>
      </c>
      <c r="N181" s="34" t="str">
        <f aca="false">IF(B181="","",IF(COUNTIF(D181:L181,"Y")=9,"GO","NO-GO"))</f>
        <v/>
      </c>
      <c r="O181" s="31"/>
    </row>
    <row r="182" customFormat="false" ht="15" hidden="false" customHeight="false" outlineLevel="0" collapsed="false">
      <c r="A182" s="18"/>
      <c r="B182" s="31"/>
      <c r="C182" s="31"/>
      <c r="D182" s="32"/>
      <c r="E182" s="32"/>
      <c r="F182" s="32"/>
      <c r="G182" s="32"/>
      <c r="H182" s="32"/>
      <c r="I182" s="32"/>
      <c r="J182" s="32"/>
      <c r="K182" s="32"/>
      <c r="L182" s="32"/>
      <c r="M182" s="33" t="str">
        <f aca="false">IF(B182="","",COUNTIF(D182:L182,"Y")&amp;"/9")</f>
        <v/>
      </c>
      <c r="N182" s="34" t="str">
        <f aca="false">IF(B182="","",IF(COUNTIF(D182:L182,"Y")=9,"GO","NO-GO"))</f>
        <v/>
      </c>
      <c r="O182" s="31"/>
    </row>
    <row r="183" customFormat="false" ht="15" hidden="false" customHeight="false" outlineLevel="0" collapsed="false">
      <c r="A183" s="18"/>
      <c r="B183" s="31"/>
      <c r="C183" s="31"/>
      <c r="D183" s="32"/>
      <c r="E183" s="32"/>
      <c r="F183" s="32"/>
      <c r="G183" s="32"/>
      <c r="H183" s="32"/>
      <c r="I183" s="32"/>
      <c r="J183" s="32"/>
      <c r="K183" s="32"/>
      <c r="L183" s="32"/>
      <c r="M183" s="33" t="str">
        <f aca="false">IF(B183="","",COUNTIF(D183:L183,"Y")&amp;"/9")</f>
        <v/>
      </c>
      <c r="N183" s="34" t="str">
        <f aca="false">IF(B183="","",IF(COUNTIF(D183:L183,"Y")=9,"GO","NO-GO"))</f>
        <v/>
      </c>
      <c r="O183" s="31"/>
    </row>
    <row r="184" customFormat="false" ht="15" hidden="false" customHeight="false" outlineLevel="0" collapsed="false">
      <c r="A184" s="18"/>
      <c r="B184" s="31"/>
      <c r="C184" s="31"/>
      <c r="D184" s="32"/>
      <c r="E184" s="32"/>
      <c r="F184" s="32"/>
      <c r="G184" s="32"/>
      <c r="H184" s="32"/>
      <c r="I184" s="32"/>
      <c r="J184" s="32"/>
      <c r="K184" s="32"/>
      <c r="L184" s="32"/>
      <c r="M184" s="33" t="str">
        <f aca="false">IF(B184="","",COUNTIF(D184:L184,"Y")&amp;"/9")</f>
        <v/>
      </c>
      <c r="N184" s="34" t="str">
        <f aca="false">IF(B184="","",IF(COUNTIF(D184:L184,"Y")=9,"GO","NO-GO"))</f>
        <v/>
      </c>
      <c r="O184" s="31"/>
    </row>
    <row r="185" customFormat="false" ht="15" hidden="false" customHeight="false" outlineLevel="0" collapsed="false">
      <c r="A185" s="18"/>
      <c r="B185" s="31"/>
      <c r="C185" s="31"/>
      <c r="D185" s="32"/>
      <c r="E185" s="32"/>
      <c r="F185" s="32"/>
      <c r="G185" s="32"/>
      <c r="H185" s="32"/>
      <c r="I185" s="32"/>
      <c r="J185" s="32"/>
      <c r="K185" s="32"/>
      <c r="L185" s="32"/>
      <c r="M185" s="33" t="str">
        <f aca="false">IF(B185="","",COUNTIF(D185:L185,"Y")&amp;"/9")</f>
        <v/>
      </c>
      <c r="N185" s="34" t="str">
        <f aca="false">IF(B185="","",IF(COUNTIF(D185:L185,"Y")=9,"GO","NO-GO"))</f>
        <v/>
      </c>
      <c r="O185" s="31"/>
    </row>
    <row r="186" customFormat="false" ht="15" hidden="false" customHeight="false" outlineLevel="0" collapsed="false">
      <c r="A186" s="18"/>
      <c r="B186" s="31"/>
      <c r="C186" s="31"/>
      <c r="D186" s="32"/>
      <c r="E186" s="32"/>
      <c r="F186" s="32"/>
      <c r="G186" s="32"/>
      <c r="H186" s="32"/>
      <c r="I186" s="32"/>
      <c r="J186" s="32"/>
      <c r="K186" s="32"/>
      <c r="L186" s="32"/>
      <c r="M186" s="33" t="str">
        <f aca="false">IF(B186="","",COUNTIF(D186:L186,"Y")&amp;"/9")</f>
        <v/>
      </c>
      <c r="N186" s="34" t="str">
        <f aca="false">IF(B186="","",IF(COUNTIF(D186:L186,"Y")=9,"GO","NO-GO"))</f>
        <v/>
      </c>
      <c r="O186" s="31"/>
    </row>
    <row r="187" customFormat="false" ht="15" hidden="false" customHeight="false" outlineLevel="0" collapsed="false">
      <c r="A187" s="18"/>
      <c r="B187" s="31"/>
      <c r="C187" s="31"/>
      <c r="D187" s="32"/>
      <c r="E187" s="32"/>
      <c r="F187" s="32"/>
      <c r="G187" s="32"/>
      <c r="H187" s="32"/>
      <c r="I187" s="32"/>
      <c r="J187" s="32"/>
      <c r="K187" s="32"/>
      <c r="L187" s="32"/>
      <c r="M187" s="33" t="str">
        <f aca="false">IF(B187="","",COUNTIF(D187:L187,"Y")&amp;"/9")</f>
        <v/>
      </c>
      <c r="N187" s="34" t="str">
        <f aca="false">IF(B187="","",IF(COUNTIF(D187:L187,"Y")=9,"GO","NO-GO"))</f>
        <v/>
      </c>
      <c r="O187" s="31"/>
    </row>
    <row r="188" customFormat="false" ht="15" hidden="false" customHeight="false" outlineLevel="0" collapsed="false">
      <c r="A188" s="18"/>
      <c r="B188" s="31"/>
      <c r="C188" s="31"/>
      <c r="D188" s="32"/>
      <c r="E188" s="32"/>
      <c r="F188" s="32"/>
      <c r="G188" s="32"/>
      <c r="H188" s="32"/>
      <c r="I188" s="32"/>
      <c r="J188" s="32"/>
      <c r="K188" s="32"/>
      <c r="L188" s="32"/>
      <c r="M188" s="33" t="str">
        <f aca="false">IF(B188="","",COUNTIF(D188:L188,"Y")&amp;"/9")</f>
        <v/>
      </c>
      <c r="N188" s="34" t="str">
        <f aca="false">IF(B188="","",IF(COUNTIF(D188:L188,"Y")=9,"GO","NO-GO"))</f>
        <v/>
      </c>
      <c r="O188" s="31"/>
    </row>
    <row r="189" customFormat="false" ht="15" hidden="false" customHeight="false" outlineLevel="0" collapsed="false">
      <c r="A189" s="18"/>
      <c r="B189" s="31"/>
      <c r="C189" s="31"/>
      <c r="D189" s="32"/>
      <c r="E189" s="32"/>
      <c r="F189" s="32"/>
      <c r="G189" s="32"/>
      <c r="H189" s="32"/>
      <c r="I189" s="32"/>
      <c r="J189" s="32"/>
      <c r="K189" s="32"/>
      <c r="L189" s="32"/>
      <c r="M189" s="33" t="str">
        <f aca="false">IF(B189="","",COUNTIF(D189:L189,"Y")&amp;"/9")</f>
        <v/>
      </c>
      <c r="N189" s="34" t="str">
        <f aca="false">IF(B189="","",IF(COUNTIF(D189:L189,"Y")=9,"GO","NO-GO"))</f>
        <v/>
      </c>
      <c r="O189" s="31"/>
    </row>
    <row r="190" customFormat="false" ht="15" hidden="false" customHeight="false" outlineLevel="0" collapsed="false">
      <c r="A190" s="18"/>
      <c r="B190" s="31"/>
      <c r="C190" s="31"/>
      <c r="D190" s="32"/>
      <c r="E190" s="32"/>
      <c r="F190" s="32"/>
      <c r="G190" s="32"/>
      <c r="H190" s="32"/>
      <c r="I190" s="32"/>
      <c r="J190" s="32"/>
      <c r="K190" s="32"/>
      <c r="L190" s="32"/>
      <c r="M190" s="33" t="str">
        <f aca="false">IF(B190="","",COUNTIF(D190:L190,"Y")&amp;"/9")</f>
        <v/>
      </c>
      <c r="N190" s="34" t="str">
        <f aca="false">IF(B190="","",IF(COUNTIF(D190:L190,"Y")=9,"GO","NO-GO"))</f>
        <v/>
      </c>
      <c r="O190" s="31"/>
    </row>
    <row r="191" customFormat="false" ht="15" hidden="false" customHeight="false" outlineLevel="0" collapsed="false">
      <c r="A191" s="18"/>
      <c r="B191" s="31"/>
      <c r="C191" s="31"/>
      <c r="D191" s="32"/>
      <c r="E191" s="32"/>
      <c r="F191" s="32"/>
      <c r="G191" s="32"/>
      <c r="H191" s="32"/>
      <c r="I191" s="32"/>
      <c r="J191" s="32"/>
      <c r="K191" s="32"/>
      <c r="L191" s="32"/>
      <c r="M191" s="33" t="str">
        <f aca="false">IF(B191="","",COUNTIF(D191:L191,"Y")&amp;"/9")</f>
        <v/>
      </c>
      <c r="N191" s="34" t="str">
        <f aca="false">IF(B191="","",IF(COUNTIF(D191:L191,"Y")=9,"GO","NO-GO"))</f>
        <v/>
      </c>
      <c r="O191" s="31"/>
    </row>
    <row r="192" customFormat="false" ht="15" hidden="false" customHeight="false" outlineLevel="0" collapsed="false">
      <c r="A192" s="18"/>
      <c r="B192" s="31"/>
      <c r="C192" s="31"/>
      <c r="D192" s="32"/>
      <c r="E192" s="32"/>
      <c r="F192" s="32"/>
      <c r="G192" s="32"/>
      <c r="H192" s="32"/>
      <c r="I192" s="32"/>
      <c r="J192" s="32"/>
      <c r="K192" s="32"/>
      <c r="L192" s="32"/>
      <c r="M192" s="33" t="str">
        <f aca="false">IF(B192="","",COUNTIF(D192:L192,"Y")&amp;"/9")</f>
        <v/>
      </c>
      <c r="N192" s="34" t="str">
        <f aca="false">IF(B192="","",IF(COUNTIF(D192:L192,"Y")=9,"GO","NO-GO"))</f>
        <v/>
      </c>
      <c r="O192" s="31"/>
    </row>
    <row r="193" customFormat="false" ht="15" hidden="false" customHeight="false" outlineLevel="0" collapsed="false">
      <c r="A193" s="18"/>
      <c r="B193" s="31"/>
      <c r="C193" s="31"/>
      <c r="D193" s="32"/>
      <c r="E193" s="32"/>
      <c r="F193" s="32"/>
      <c r="G193" s="32"/>
      <c r="H193" s="32"/>
      <c r="I193" s="32"/>
      <c r="J193" s="32"/>
      <c r="K193" s="32"/>
      <c r="L193" s="32"/>
      <c r="M193" s="33" t="str">
        <f aca="false">IF(B193="","",COUNTIF(D193:L193,"Y")&amp;"/9")</f>
        <v/>
      </c>
      <c r="N193" s="34" t="str">
        <f aca="false">IF(B193="","",IF(COUNTIF(D193:L193,"Y")=9,"GO","NO-GO"))</f>
        <v/>
      </c>
      <c r="O193" s="31"/>
    </row>
    <row r="194" customFormat="false" ht="15" hidden="false" customHeight="false" outlineLevel="0" collapsed="false">
      <c r="A194" s="18"/>
      <c r="B194" s="31"/>
      <c r="C194" s="31"/>
      <c r="D194" s="32"/>
      <c r="E194" s="32"/>
      <c r="F194" s="32"/>
      <c r="G194" s="32"/>
      <c r="H194" s="32"/>
      <c r="I194" s="32"/>
      <c r="J194" s="32"/>
      <c r="K194" s="32"/>
      <c r="L194" s="32"/>
      <c r="M194" s="33" t="str">
        <f aca="false">IF(B194="","",COUNTIF(D194:L194,"Y")&amp;"/9")</f>
        <v/>
      </c>
      <c r="N194" s="34" t="str">
        <f aca="false">IF(B194="","",IF(COUNTIF(D194:L194,"Y")=9,"GO","NO-GO"))</f>
        <v/>
      </c>
      <c r="O194" s="31"/>
    </row>
    <row r="195" customFormat="false" ht="15" hidden="false" customHeight="false" outlineLevel="0" collapsed="false">
      <c r="A195" s="18"/>
      <c r="B195" s="31"/>
      <c r="C195" s="31"/>
      <c r="D195" s="32"/>
      <c r="E195" s="32"/>
      <c r="F195" s="32"/>
      <c r="G195" s="32"/>
      <c r="H195" s="32"/>
      <c r="I195" s="32"/>
      <c r="J195" s="32"/>
      <c r="K195" s="32"/>
      <c r="L195" s="32"/>
      <c r="M195" s="33" t="str">
        <f aca="false">IF(B195="","",COUNTIF(D195:L195,"Y")&amp;"/9")</f>
        <v/>
      </c>
      <c r="N195" s="34" t="str">
        <f aca="false">IF(B195="","",IF(COUNTIF(D195:L195,"Y")=9,"GO","NO-GO"))</f>
        <v/>
      </c>
      <c r="O195" s="31"/>
    </row>
    <row r="196" customFormat="false" ht="15" hidden="false" customHeight="false" outlineLevel="0" collapsed="false">
      <c r="A196" s="18"/>
      <c r="B196" s="31"/>
      <c r="C196" s="31"/>
      <c r="D196" s="32"/>
      <c r="E196" s="32"/>
      <c r="F196" s="32"/>
      <c r="G196" s="32"/>
      <c r="H196" s="32"/>
      <c r="I196" s="32"/>
      <c r="J196" s="32"/>
      <c r="K196" s="32"/>
      <c r="L196" s="32"/>
      <c r="M196" s="33" t="str">
        <f aca="false">IF(B196="","",COUNTIF(D196:L196,"Y")&amp;"/9")</f>
        <v/>
      </c>
      <c r="N196" s="34" t="str">
        <f aca="false">IF(B196="","",IF(COUNTIF(D196:L196,"Y")=9,"GO","NO-GO"))</f>
        <v/>
      </c>
      <c r="O196" s="31"/>
    </row>
    <row r="197" customFormat="false" ht="15" hidden="false" customHeight="false" outlineLevel="0" collapsed="false">
      <c r="A197" s="18"/>
      <c r="B197" s="31"/>
      <c r="C197" s="31"/>
      <c r="D197" s="32"/>
      <c r="E197" s="32"/>
      <c r="F197" s="32"/>
      <c r="G197" s="32"/>
      <c r="H197" s="32"/>
      <c r="I197" s="32"/>
      <c r="J197" s="32"/>
      <c r="K197" s="32"/>
      <c r="L197" s="32"/>
      <c r="M197" s="33" t="str">
        <f aca="false">IF(B197="","",COUNTIF(D197:L197,"Y")&amp;"/9")</f>
        <v/>
      </c>
      <c r="N197" s="34" t="str">
        <f aca="false">IF(B197="","",IF(COUNTIF(D197:L197,"Y")=9,"GO","NO-GO"))</f>
        <v/>
      </c>
      <c r="O197" s="31"/>
    </row>
    <row r="198" customFormat="false" ht="15" hidden="false" customHeight="false" outlineLevel="0" collapsed="false">
      <c r="A198" s="18"/>
      <c r="B198" s="31"/>
      <c r="C198" s="31"/>
      <c r="D198" s="32"/>
      <c r="E198" s="32"/>
      <c r="F198" s="32"/>
      <c r="G198" s="32"/>
      <c r="H198" s="32"/>
      <c r="I198" s="32"/>
      <c r="J198" s="32"/>
      <c r="K198" s="32"/>
      <c r="L198" s="32"/>
      <c r="M198" s="33" t="str">
        <f aca="false">IF(B198="","",COUNTIF(D198:L198,"Y")&amp;"/9")</f>
        <v/>
      </c>
      <c r="N198" s="34" t="str">
        <f aca="false">IF(B198="","",IF(COUNTIF(D198:L198,"Y")=9,"GO","NO-GO"))</f>
        <v/>
      </c>
      <c r="O198" s="31"/>
    </row>
    <row r="199" customFormat="false" ht="15" hidden="false" customHeight="false" outlineLevel="0" collapsed="false">
      <c r="A199" s="18"/>
      <c r="B199" s="31"/>
      <c r="C199" s="31"/>
      <c r="D199" s="32"/>
      <c r="E199" s="32"/>
      <c r="F199" s="32"/>
      <c r="G199" s="32"/>
      <c r="H199" s="32"/>
      <c r="I199" s="32"/>
      <c r="J199" s="32"/>
      <c r="K199" s="32"/>
      <c r="L199" s="32"/>
      <c r="M199" s="33" t="str">
        <f aca="false">IF(B199="","",COUNTIF(D199:L199,"Y")&amp;"/9")</f>
        <v/>
      </c>
      <c r="N199" s="34" t="str">
        <f aca="false">IF(B199="","",IF(COUNTIF(D199:L199,"Y")=9,"GO","NO-GO"))</f>
        <v/>
      </c>
      <c r="O199" s="31"/>
    </row>
    <row r="200" customFormat="false" ht="15" hidden="false" customHeight="false" outlineLevel="0" collapsed="false">
      <c r="A200" s="18"/>
      <c r="B200" s="31"/>
      <c r="C200" s="31"/>
      <c r="D200" s="32"/>
      <c r="E200" s="32"/>
      <c r="F200" s="32"/>
      <c r="G200" s="32"/>
      <c r="H200" s="32"/>
      <c r="I200" s="32"/>
      <c r="J200" s="32"/>
      <c r="K200" s="32"/>
      <c r="L200" s="32"/>
      <c r="M200" s="33" t="str">
        <f aca="false">IF(B200="","",COUNTIF(D200:L200,"Y")&amp;"/9")</f>
        <v/>
      </c>
      <c r="N200" s="34" t="str">
        <f aca="false">IF(B200="","",IF(COUNTIF(D200:L200,"Y")=9,"GO","NO-GO"))</f>
        <v/>
      </c>
      <c r="O200" s="31"/>
    </row>
    <row r="201" customFormat="false" ht="15" hidden="false" customHeight="false" outlineLevel="0" collapsed="false">
      <c r="A201" s="18"/>
      <c r="B201" s="31"/>
      <c r="C201" s="31"/>
      <c r="D201" s="32"/>
      <c r="E201" s="32"/>
      <c r="F201" s="32"/>
      <c r="G201" s="32"/>
      <c r="H201" s="32"/>
      <c r="I201" s="32"/>
      <c r="J201" s="32"/>
      <c r="K201" s="32"/>
      <c r="L201" s="32"/>
      <c r="M201" s="33" t="str">
        <f aca="false">IF(B201="","",COUNTIF(D201:L201,"Y")&amp;"/9")</f>
        <v/>
      </c>
      <c r="N201" s="34" t="str">
        <f aca="false">IF(B201="","",IF(COUNTIF(D201:L201,"Y")=9,"GO","NO-GO"))</f>
        <v/>
      </c>
      <c r="O201" s="31"/>
    </row>
    <row r="202" customFormat="false" ht="15" hidden="false" customHeight="false" outlineLevel="0" collapsed="false">
      <c r="A202" s="18"/>
      <c r="B202" s="31"/>
      <c r="C202" s="31"/>
      <c r="D202" s="32"/>
      <c r="E202" s="32"/>
      <c r="F202" s="32"/>
      <c r="G202" s="32"/>
      <c r="H202" s="32"/>
      <c r="I202" s="32"/>
      <c r="J202" s="32"/>
      <c r="K202" s="32"/>
      <c r="L202" s="32"/>
      <c r="M202" s="33" t="str">
        <f aca="false">IF(B202="","",COUNTIF(D202:L202,"Y")&amp;"/9")</f>
        <v/>
      </c>
      <c r="N202" s="34" t="str">
        <f aca="false">IF(B202="","",IF(COUNTIF(D202:L202,"Y")=9,"GO","NO-GO"))</f>
        <v/>
      </c>
      <c r="O202" s="31"/>
    </row>
    <row r="203" customFormat="false" ht="15" hidden="false" customHeight="false" outlineLevel="0" collapsed="false">
      <c r="A203" s="18"/>
      <c r="B203" s="31"/>
      <c r="C203" s="31"/>
      <c r="D203" s="32"/>
      <c r="E203" s="32"/>
      <c r="F203" s="32"/>
      <c r="G203" s="32"/>
      <c r="H203" s="32"/>
      <c r="I203" s="32"/>
      <c r="J203" s="32"/>
      <c r="K203" s="32"/>
      <c r="L203" s="32"/>
      <c r="M203" s="33" t="str">
        <f aca="false">IF(B203="","",COUNTIF(D203:L203,"Y")&amp;"/9")</f>
        <v/>
      </c>
      <c r="N203" s="34" t="str">
        <f aca="false">IF(B203="","",IF(COUNTIF(D203:L203,"Y")=9,"GO","NO-GO"))</f>
        <v/>
      </c>
      <c r="O203" s="31"/>
    </row>
    <row r="204" customFormat="false" ht="15" hidden="false" customHeight="false" outlineLevel="0" collapsed="false">
      <c r="A204" s="18"/>
      <c r="B204" s="31"/>
      <c r="C204" s="31"/>
      <c r="D204" s="32"/>
      <c r="E204" s="32"/>
      <c r="F204" s="32"/>
      <c r="G204" s="32"/>
      <c r="H204" s="32"/>
      <c r="I204" s="32"/>
      <c r="J204" s="32"/>
      <c r="K204" s="32"/>
      <c r="L204" s="32"/>
      <c r="M204" s="33" t="str">
        <f aca="false">IF(B204="","",COUNTIF(D204:L204,"Y")&amp;"/9")</f>
        <v/>
      </c>
      <c r="N204" s="34" t="str">
        <f aca="false">IF(B204="","",IF(COUNTIF(D204:L204,"Y")=9,"GO","NO-GO"))</f>
        <v/>
      </c>
      <c r="O204" s="31"/>
    </row>
    <row r="205" customFormat="false" ht="15" hidden="false" customHeight="false" outlineLevel="0" collapsed="false">
      <c r="A205" s="18"/>
      <c r="B205" s="31"/>
      <c r="C205" s="31"/>
      <c r="D205" s="32"/>
      <c r="E205" s="32"/>
      <c r="F205" s="32"/>
      <c r="G205" s="32"/>
      <c r="H205" s="32"/>
      <c r="I205" s="32"/>
      <c r="J205" s="32"/>
      <c r="K205" s="32"/>
      <c r="L205" s="32"/>
      <c r="M205" s="33" t="str">
        <f aca="false">IF(B205="","",COUNTIF(D205:L205,"Y")&amp;"/9")</f>
        <v/>
      </c>
      <c r="N205" s="34" t="str">
        <f aca="false">IF(B205="","",IF(COUNTIF(D205:L205,"Y")=9,"GO","NO-GO"))</f>
        <v/>
      </c>
      <c r="O205" s="31"/>
    </row>
  </sheetData>
  <conditionalFormatting sqref="N6:N205">
    <cfRule type="cellIs" priority="2" operator="equal" aboveAverage="0" equalAverage="0" bottom="0" percent="0" rank="0" text="" dxfId="2">
      <formula>"GO"</formula>
    </cfRule>
    <cfRule type="cellIs" priority="3" operator="equal" aboveAverage="0" equalAverage="0" bottom="0" percent="0" rank="0" text="" dxfId="3">
      <formula>"NO-GO"</formula>
    </cfRule>
  </conditionalFormatting>
  <conditionalFormatting sqref="D6:L205">
    <cfRule type="cellIs" priority="4" operator="equal" aboveAverage="0" equalAverage="0" bottom="0" percent="0" rank="0" text="" dxfId="1">
      <formula>"N"</formula>
    </cfRule>
  </conditionalFormatting>
  <dataValidations count="1">
    <dataValidation allowBlank="true" errorStyle="stop" operator="between" showDropDown="false" showErrorMessage="false" showInputMessage="false" sqref="D6:L205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10" min="6" style="0" width="10"/>
    <col collapsed="false" customWidth="true" hidden="false" outlineLevel="0" max="11" min="11" style="0" width="36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10"/>
    <col collapsed="false" customWidth="true" hidden="false" outlineLevel="0" max="15" min="15" style="0" width="34"/>
  </cols>
  <sheetData>
    <row r="1" customFormat="false" ht="17.35" hidden="false" customHeight="false" outlineLevel="0" collapsed="false">
      <c r="A1" s="1" t="s">
        <v>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" hidden="false" customHeight="false" outlineLevel="0" collapsed="false">
      <c r="A2" s="3" t="s">
        <v>96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15" hidden="false" customHeight="false" outlineLevel="0" collapsed="false">
      <c r="A4" s="2" t="s">
        <v>97</v>
      </c>
      <c r="B4" s="6" t="n">
        <v>9</v>
      </c>
      <c r="C4" s="7" t="s">
        <v>98</v>
      </c>
      <c r="D4" s="2"/>
      <c r="E4" s="4" t="s">
        <v>42</v>
      </c>
      <c r="F4" s="10" t="n">
        <f aca="false">SUM(N9:N208)</f>
        <v>0</v>
      </c>
      <c r="G4" s="4" t="s">
        <v>99</v>
      </c>
      <c r="H4" s="35" t="str">
        <f aca="false">IFERROR(SUMPRODUCT((L9:L208="Won")*(1-E9:E208)^2+(L9:L208="Lost")*(E9:E208)^2)/(COUNTIF(L9:L208,"Won")+COUNTIF(L9:L208,"Lost")),"")</f>
        <v/>
      </c>
      <c r="I4" s="7" t="s">
        <v>100</v>
      </c>
      <c r="J4" s="2"/>
      <c r="K4" s="2"/>
      <c r="L4" s="2"/>
      <c r="M4" s="2"/>
      <c r="N4" s="2"/>
      <c r="O4" s="2"/>
    </row>
    <row r="5" customFormat="false" ht="15" hidden="false" customHeight="false" outlineLevel="0" collapsed="false">
      <c r="A5" s="2" t="s">
        <v>101</v>
      </c>
      <c r="B5" s="36" t="n">
        <v>10</v>
      </c>
      <c r="C5" s="7" t="s">
        <v>102</v>
      </c>
      <c r="D5" s="2"/>
      <c r="E5" s="4" t="s">
        <v>103</v>
      </c>
      <c r="F5" s="10" t="n">
        <f aca="false">B4+F4</f>
        <v>9</v>
      </c>
      <c r="G5" s="4" t="s">
        <v>104</v>
      </c>
      <c r="H5" s="14" t="n">
        <f aca="false">IFERROR(COUNTIF(J9:J208,"YES")/COUNTA(B9:B208),0)</f>
        <v>1</v>
      </c>
      <c r="I5" s="2"/>
      <c r="J5" s="2"/>
      <c r="K5" s="2"/>
      <c r="L5" s="2"/>
      <c r="M5" s="2"/>
      <c r="N5" s="2"/>
      <c r="O5" s="2"/>
    </row>
    <row r="6" customFormat="false" ht="15" hidden="false" customHeight="false" outlineLevel="0" collapsed="false">
      <c r="A6" s="2"/>
      <c r="B6" s="2"/>
      <c r="C6" s="2"/>
      <c r="D6" s="2"/>
      <c r="E6" s="4" t="s">
        <v>105</v>
      </c>
      <c r="F6" s="14" t="n">
        <f aca="false">IFERROR(COUNTIF(L9:L208,"Won")/(COUNTIF(L9:L208,"Won")+COUNTIF(L9:L208,"Lost")),0)</f>
        <v>0</v>
      </c>
      <c r="G6" s="2"/>
      <c r="H6" s="2"/>
      <c r="I6" s="2"/>
      <c r="J6" s="2"/>
      <c r="K6" s="2"/>
      <c r="L6" s="2"/>
      <c r="M6" s="2"/>
      <c r="N6" s="2"/>
      <c r="O6" s="2"/>
    </row>
    <row r="7" customFormat="false" ht="15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customFormat="false" ht="30" hidden="false" customHeight="true" outlineLevel="0" collapsed="false">
      <c r="A8" s="17" t="s">
        <v>77</v>
      </c>
      <c r="B8" s="17" t="s">
        <v>106</v>
      </c>
      <c r="C8" s="17" t="s">
        <v>107</v>
      </c>
      <c r="D8" s="17" t="s">
        <v>108</v>
      </c>
      <c r="E8" s="17" t="s">
        <v>109</v>
      </c>
      <c r="F8" s="17" t="s">
        <v>110</v>
      </c>
      <c r="G8" s="17" t="s">
        <v>111</v>
      </c>
      <c r="H8" s="17" t="s">
        <v>112</v>
      </c>
      <c r="I8" s="17" t="s">
        <v>113</v>
      </c>
      <c r="J8" s="17" t="s">
        <v>114</v>
      </c>
      <c r="K8" s="17" t="s">
        <v>115</v>
      </c>
      <c r="L8" s="17" t="s">
        <v>116</v>
      </c>
      <c r="M8" s="17" t="s">
        <v>117</v>
      </c>
      <c r="N8" s="17" t="s">
        <v>118</v>
      </c>
      <c r="O8" s="17" t="s">
        <v>119</v>
      </c>
    </row>
    <row r="9" customFormat="false" ht="15" hidden="false" customHeight="false" outlineLevel="0" collapsed="false">
      <c r="A9" s="18" t="n">
        <v>46312</v>
      </c>
      <c r="B9" s="19" t="s">
        <v>120</v>
      </c>
      <c r="C9" s="19" t="s">
        <v>121</v>
      </c>
      <c r="D9" s="19" t="s">
        <v>122</v>
      </c>
      <c r="E9" s="37" t="n">
        <v>0.6</v>
      </c>
      <c r="F9" s="38" t="n">
        <v>45</v>
      </c>
      <c r="G9" s="39" t="n">
        <f aca="false">IF(OR(E9="",F9=""),"",E9*100-F9)</f>
        <v>15</v>
      </c>
      <c r="H9" s="22" t="n">
        <v>2</v>
      </c>
      <c r="I9" s="12" t="n">
        <f aca="false">IF(OR(H9="",F9="",N(F9)=0),"",H9/(F9/100))</f>
        <v>4.44444444444445</v>
      </c>
      <c r="J9" s="40" t="str">
        <f aca="false">IF(G9="","",IF(AND(G9&gt;=$B$5,F9&gt;=5,F9&lt;=95),"YES","NO"))</f>
        <v>YES</v>
      </c>
      <c r="K9" s="19" t="s">
        <v>123</v>
      </c>
      <c r="L9" s="19" t="s">
        <v>124</v>
      </c>
      <c r="M9" s="18"/>
      <c r="N9" s="10" t="str">
        <f aca="false">IF(L9="Won",I9-H9,IF(L9="Lost",-H9,""))</f>
        <v/>
      </c>
      <c r="O9" s="19" t="s">
        <v>125</v>
      </c>
    </row>
    <row r="10" customFormat="false" ht="15" hidden="false" customHeight="false" outlineLevel="0" collapsed="false">
      <c r="A10" s="18"/>
      <c r="B10" s="19"/>
      <c r="C10" s="19"/>
      <c r="D10" s="19"/>
      <c r="E10" s="37"/>
      <c r="F10" s="38"/>
      <c r="G10" s="39" t="str">
        <f aca="false">IF(OR(E10="",F10=""),"",E10*100-F10)</f>
        <v/>
      </c>
      <c r="H10" s="22"/>
      <c r="I10" s="12" t="str">
        <f aca="false">IF(OR(H10="",F10="",N(F10)=0),"",H10/(F10/100))</f>
        <v/>
      </c>
      <c r="J10" s="40" t="str">
        <f aca="false">IF(G10="","",IF(AND(G10&gt;=$B$5,F10&gt;=5,F10&lt;=95),"YES","NO"))</f>
        <v/>
      </c>
      <c r="K10" s="19"/>
      <c r="L10" s="19"/>
      <c r="M10" s="18"/>
      <c r="N10" s="10" t="str">
        <f aca="false">IF(L10="Won",I10-H10,IF(L10="Lost",-H10,""))</f>
        <v/>
      </c>
      <c r="O10" s="19"/>
    </row>
    <row r="11" customFormat="false" ht="15" hidden="false" customHeight="false" outlineLevel="0" collapsed="false">
      <c r="A11" s="18"/>
      <c r="B11" s="19"/>
      <c r="C11" s="19"/>
      <c r="D11" s="19"/>
      <c r="E11" s="37"/>
      <c r="F11" s="38"/>
      <c r="G11" s="39" t="str">
        <f aca="false">IF(OR(E11="",F11=""),"",E11*100-F11)</f>
        <v/>
      </c>
      <c r="H11" s="22"/>
      <c r="I11" s="12" t="str">
        <f aca="false">IF(OR(H11="",F11="",N(F11)=0),"",H11/(F11/100))</f>
        <v/>
      </c>
      <c r="J11" s="40" t="str">
        <f aca="false">IF(G11="","",IF(AND(G11&gt;=$B$5,F11&gt;=5,F11&lt;=95),"YES","NO"))</f>
        <v/>
      </c>
      <c r="K11" s="19"/>
      <c r="L11" s="19"/>
      <c r="M11" s="18"/>
      <c r="N11" s="10" t="str">
        <f aca="false">IF(L11="Won",I11-H11,IF(L11="Lost",-H11,""))</f>
        <v/>
      </c>
      <c r="O11" s="19"/>
    </row>
    <row r="12" customFormat="false" ht="15" hidden="false" customHeight="false" outlineLevel="0" collapsed="false">
      <c r="A12" s="18"/>
      <c r="B12" s="19"/>
      <c r="C12" s="19"/>
      <c r="D12" s="19"/>
      <c r="E12" s="37"/>
      <c r="F12" s="38"/>
      <c r="G12" s="39" t="str">
        <f aca="false">IF(OR(E12="",F12=""),"",E12*100-F12)</f>
        <v/>
      </c>
      <c r="H12" s="22"/>
      <c r="I12" s="12" t="str">
        <f aca="false">IF(OR(H12="",F12="",N(F12)=0),"",H12/(F12/100))</f>
        <v/>
      </c>
      <c r="J12" s="40" t="str">
        <f aca="false">IF(G12="","",IF(AND(G12&gt;=$B$5,F12&gt;=5,F12&lt;=95),"YES","NO"))</f>
        <v/>
      </c>
      <c r="K12" s="19"/>
      <c r="L12" s="19"/>
      <c r="M12" s="18"/>
      <c r="N12" s="10" t="str">
        <f aca="false">IF(L12="Won",I12-H12,IF(L12="Lost",-H12,""))</f>
        <v/>
      </c>
      <c r="O12" s="19"/>
    </row>
    <row r="13" customFormat="false" ht="15" hidden="false" customHeight="false" outlineLevel="0" collapsed="false">
      <c r="A13" s="18"/>
      <c r="B13" s="19"/>
      <c r="C13" s="19"/>
      <c r="D13" s="19"/>
      <c r="E13" s="37"/>
      <c r="F13" s="38"/>
      <c r="G13" s="39" t="str">
        <f aca="false">IF(OR(E13="",F13=""),"",E13*100-F13)</f>
        <v/>
      </c>
      <c r="H13" s="22"/>
      <c r="I13" s="12" t="str">
        <f aca="false">IF(OR(H13="",F13="",N(F13)=0),"",H13/(F13/100))</f>
        <v/>
      </c>
      <c r="J13" s="40" t="str">
        <f aca="false">IF(G13="","",IF(AND(G13&gt;=$B$5,F13&gt;=5,F13&lt;=95),"YES","NO"))</f>
        <v/>
      </c>
      <c r="K13" s="19"/>
      <c r="L13" s="19"/>
      <c r="M13" s="18"/>
      <c r="N13" s="10" t="str">
        <f aca="false">IF(L13="Won",I13-H13,IF(L13="Lost",-H13,""))</f>
        <v/>
      </c>
      <c r="O13" s="19"/>
    </row>
    <row r="14" customFormat="false" ht="15" hidden="false" customHeight="false" outlineLevel="0" collapsed="false">
      <c r="A14" s="18"/>
      <c r="B14" s="19"/>
      <c r="C14" s="19"/>
      <c r="D14" s="19"/>
      <c r="E14" s="37"/>
      <c r="F14" s="38"/>
      <c r="G14" s="39" t="str">
        <f aca="false">IF(OR(E14="",F14=""),"",E14*100-F14)</f>
        <v/>
      </c>
      <c r="H14" s="22"/>
      <c r="I14" s="12" t="str">
        <f aca="false">IF(OR(H14="",F14="",N(F14)=0),"",H14/(F14/100))</f>
        <v/>
      </c>
      <c r="J14" s="40" t="str">
        <f aca="false">IF(G14="","",IF(AND(G14&gt;=$B$5,F14&gt;=5,F14&lt;=95),"YES","NO"))</f>
        <v/>
      </c>
      <c r="K14" s="19"/>
      <c r="L14" s="19"/>
      <c r="M14" s="18"/>
      <c r="N14" s="10" t="str">
        <f aca="false">IF(L14="Won",I14-H14,IF(L14="Lost",-H14,""))</f>
        <v/>
      </c>
      <c r="O14" s="19"/>
    </row>
    <row r="15" customFormat="false" ht="15" hidden="false" customHeight="false" outlineLevel="0" collapsed="false">
      <c r="A15" s="18"/>
      <c r="B15" s="19"/>
      <c r="C15" s="19"/>
      <c r="D15" s="19"/>
      <c r="E15" s="37"/>
      <c r="F15" s="38"/>
      <c r="G15" s="39" t="str">
        <f aca="false">IF(OR(E15="",F15=""),"",E15*100-F15)</f>
        <v/>
      </c>
      <c r="H15" s="22"/>
      <c r="I15" s="12" t="str">
        <f aca="false">IF(OR(H15="",F15="",N(F15)=0),"",H15/(F15/100))</f>
        <v/>
      </c>
      <c r="J15" s="40" t="str">
        <f aca="false">IF(G15="","",IF(AND(G15&gt;=$B$5,F15&gt;=5,F15&lt;=95),"YES","NO"))</f>
        <v/>
      </c>
      <c r="K15" s="19"/>
      <c r="L15" s="19"/>
      <c r="M15" s="18"/>
      <c r="N15" s="10" t="str">
        <f aca="false">IF(L15="Won",I15-H15,IF(L15="Lost",-H15,""))</f>
        <v/>
      </c>
      <c r="O15" s="19"/>
    </row>
    <row r="16" customFormat="false" ht="15" hidden="false" customHeight="false" outlineLevel="0" collapsed="false">
      <c r="A16" s="18"/>
      <c r="B16" s="19"/>
      <c r="C16" s="19"/>
      <c r="D16" s="19"/>
      <c r="E16" s="37"/>
      <c r="F16" s="38"/>
      <c r="G16" s="39" t="str">
        <f aca="false">IF(OR(E16="",F16=""),"",E16*100-F16)</f>
        <v/>
      </c>
      <c r="H16" s="22"/>
      <c r="I16" s="12" t="str">
        <f aca="false">IF(OR(H16="",F16="",N(F16)=0),"",H16/(F16/100))</f>
        <v/>
      </c>
      <c r="J16" s="40" t="str">
        <f aca="false">IF(G16="","",IF(AND(G16&gt;=$B$5,F16&gt;=5,F16&lt;=95),"YES","NO"))</f>
        <v/>
      </c>
      <c r="K16" s="19"/>
      <c r="L16" s="19"/>
      <c r="M16" s="18"/>
      <c r="N16" s="10" t="str">
        <f aca="false">IF(L16="Won",I16-H16,IF(L16="Lost",-H16,""))</f>
        <v/>
      </c>
      <c r="O16" s="19"/>
    </row>
    <row r="17" customFormat="false" ht="15" hidden="false" customHeight="false" outlineLevel="0" collapsed="false">
      <c r="A17" s="18"/>
      <c r="B17" s="19"/>
      <c r="C17" s="19"/>
      <c r="D17" s="19"/>
      <c r="E17" s="37"/>
      <c r="F17" s="38"/>
      <c r="G17" s="39" t="str">
        <f aca="false">IF(OR(E17="",F17=""),"",E17*100-F17)</f>
        <v/>
      </c>
      <c r="H17" s="22"/>
      <c r="I17" s="12" t="str">
        <f aca="false">IF(OR(H17="",F17="",N(F17)=0),"",H17/(F17/100))</f>
        <v/>
      </c>
      <c r="J17" s="40" t="str">
        <f aca="false">IF(G17="","",IF(AND(G17&gt;=$B$5,F17&gt;=5,F17&lt;=95),"YES","NO"))</f>
        <v/>
      </c>
      <c r="K17" s="19"/>
      <c r="L17" s="19"/>
      <c r="M17" s="18"/>
      <c r="N17" s="10" t="str">
        <f aca="false">IF(L17="Won",I17-H17,IF(L17="Lost",-H17,""))</f>
        <v/>
      </c>
      <c r="O17" s="19"/>
    </row>
    <row r="18" customFormat="false" ht="15" hidden="false" customHeight="false" outlineLevel="0" collapsed="false">
      <c r="A18" s="18"/>
      <c r="B18" s="19"/>
      <c r="C18" s="19"/>
      <c r="D18" s="19"/>
      <c r="E18" s="37"/>
      <c r="F18" s="38"/>
      <c r="G18" s="39" t="str">
        <f aca="false">IF(OR(E18="",F18=""),"",E18*100-F18)</f>
        <v/>
      </c>
      <c r="H18" s="22"/>
      <c r="I18" s="12" t="str">
        <f aca="false">IF(OR(H18="",F18="",N(F18)=0),"",H18/(F18/100))</f>
        <v/>
      </c>
      <c r="J18" s="40" t="str">
        <f aca="false">IF(G18="","",IF(AND(G18&gt;=$B$5,F18&gt;=5,F18&lt;=95),"YES","NO"))</f>
        <v/>
      </c>
      <c r="K18" s="19"/>
      <c r="L18" s="19"/>
      <c r="M18" s="18"/>
      <c r="N18" s="10" t="str">
        <f aca="false">IF(L18="Won",I18-H18,IF(L18="Lost",-H18,""))</f>
        <v/>
      </c>
      <c r="O18" s="19"/>
    </row>
    <row r="19" customFormat="false" ht="15" hidden="false" customHeight="false" outlineLevel="0" collapsed="false">
      <c r="A19" s="18"/>
      <c r="B19" s="19"/>
      <c r="C19" s="19"/>
      <c r="D19" s="19"/>
      <c r="E19" s="37"/>
      <c r="F19" s="38"/>
      <c r="G19" s="39" t="str">
        <f aca="false">IF(OR(E19="",F19=""),"",E19*100-F19)</f>
        <v/>
      </c>
      <c r="H19" s="22"/>
      <c r="I19" s="12" t="str">
        <f aca="false">IF(OR(H19="",F19="",N(F19)=0),"",H19/(F19/100))</f>
        <v/>
      </c>
      <c r="J19" s="40" t="str">
        <f aca="false">IF(G19="","",IF(AND(G19&gt;=$B$5,F19&gt;=5,F19&lt;=95),"YES","NO"))</f>
        <v/>
      </c>
      <c r="K19" s="19"/>
      <c r="L19" s="19"/>
      <c r="M19" s="18"/>
      <c r="N19" s="10" t="str">
        <f aca="false">IF(L19="Won",I19-H19,IF(L19="Lost",-H19,""))</f>
        <v/>
      </c>
      <c r="O19" s="19"/>
    </row>
    <row r="20" customFormat="false" ht="15" hidden="false" customHeight="false" outlineLevel="0" collapsed="false">
      <c r="A20" s="18"/>
      <c r="B20" s="19"/>
      <c r="C20" s="19"/>
      <c r="D20" s="19"/>
      <c r="E20" s="37"/>
      <c r="F20" s="38"/>
      <c r="G20" s="39" t="str">
        <f aca="false">IF(OR(E20="",F20=""),"",E20*100-F20)</f>
        <v/>
      </c>
      <c r="H20" s="22"/>
      <c r="I20" s="12" t="str">
        <f aca="false">IF(OR(H20="",F20="",N(F20)=0),"",H20/(F20/100))</f>
        <v/>
      </c>
      <c r="J20" s="40" t="str">
        <f aca="false">IF(G20="","",IF(AND(G20&gt;=$B$5,F20&gt;=5,F20&lt;=95),"YES","NO"))</f>
        <v/>
      </c>
      <c r="K20" s="19"/>
      <c r="L20" s="19"/>
      <c r="M20" s="18"/>
      <c r="N20" s="10" t="str">
        <f aca="false">IF(L20="Won",I20-H20,IF(L20="Lost",-H20,""))</f>
        <v/>
      </c>
      <c r="O20" s="19"/>
    </row>
    <row r="21" customFormat="false" ht="15" hidden="false" customHeight="false" outlineLevel="0" collapsed="false">
      <c r="A21" s="18"/>
      <c r="B21" s="19"/>
      <c r="C21" s="19"/>
      <c r="D21" s="19"/>
      <c r="E21" s="37"/>
      <c r="F21" s="38"/>
      <c r="G21" s="39" t="str">
        <f aca="false">IF(OR(E21="",F21=""),"",E21*100-F21)</f>
        <v/>
      </c>
      <c r="H21" s="22"/>
      <c r="I21" s="12" t="str">
        <f aca="false">IF(OR(H21="",F21="",N(F21)=0),"",H21/(F21/100))</f>
        <v/>
      </c>
      <c r="J21" s="40" t="str">
        <f aca="false">IF(G21="","",IF(AND(G21&gt;=$B$5,F21&gt;=5,F21&lt;=95),"YES","NO"))</f>
        <v/>
      </c>
      <c r="K21" s="19"/>
      <c r="L21" s="19"/>
      <c r="M21" s="18"/>
      <c r="N21" s="10" t="str">
        <f aca="false">IF(L21="Won",I21-H21,IF(L21="Lost",-H21,""))</f>
        <v/>
      </c>
      <c r="O21" s="19"/>
    </row>
    <row r="22" customFormat="false" ht="15" hidden="false" customHeight="false" outlineLevel="0" collapsed="false">
      <c r="A22" s="18"/>
      <c r="B22" s="19"/>
      <c r="C22" s="19"/>
      <c r="D22" s="19"/>
      <c r="E22" s="37"/>
      <c r="F22" s="38"/>
      <c r="G22" s="39" t="str">
        <f aca="false">IF(OR(E22="",F22=""),"",E22*100-F22)</f>
        <v/>
      </c>
      <c r="H22" s="22"/>
      <c r="I22" s="12" t="str">
        <f aca="false">IF(OR(H22="",F22="",N(F22)=0),"",H22/(F22/100))</f>
        <v/>
      </c>
      <c r="J22" s="40" t="str">
        <f aca="false">IF(G22="","",IF(AND(G22&gt;=$B$5,F22&gt;=5,F22&lt;=95),"YES","NO"))</f>
        <v/>
      </c>
      <c r="K22" s="19"/>
      <c r="L22" s="19"/>
      <c r="M22" s="18"/>
      <c r="N22" s="10" t="str">
        <f aca="false">IF(L22="Won",I22-H22,IF(L22="Lost",-H22,""))</f>
        <v/>
      </c>
      <c r="O22" s="19"/>
    </row>
    <row r="23" customFormat="false" ht="15" hidden="false" customHeight="false" outlineLevel="0" collapsed="false">
      <c r="A23" s="18"/>
      <c r="B23" s="19"/>
      <c r="C23" s="19"/>
      <c r="D23" s="19"/>
      <c r="E23" s="37"/>
      <c r="F23" s="38"/>
      <c r="G23" s="39" t="str">
        <f aca="false">IF(OR(E23="",F23=""),"",E23*100-F23)</f>
        <v/>
      </c>
      <c r="H23" s="22"/>
      <c r="I23" s="12" t="str">
        <f aca="false">IF(OR(H23="",F23="",N(F23)=0),"",H23/(F23/100))</f>
        <v/>
      </c>
      <c r="J23" s="40" t="str">
        <f aca="false">IF(G23="","",IF(AND(G23&gt;=$B$5,F23&gt;=5,F23&lt;=95),"YES","NO"))</f>
        <v/>
      </c>
      <c r="K23" s="19"/>
      <c r="L23" s="19"/>
      <c r="M23" s="18"/>
      <c r="N23" s="10" t="str">
        <f aca="false">IF(L23="Won",I23-H23,IF(L23="Lost",-H23,""))</f>
        <v/>
      </c>
      <c r="O23" s="19"/>
    </row>
    <row r="24" customFormat="false" ht="15" hidden="false" customHeight="false" outlineLevel="0" collapsed="false">
      <c r="A24" s="18"/>
      <c r="B24" s="19"/>
      <c r="C24" s="19"/>
      <c r="D24" s="19"/>
      <c r="E24" s="37"/>
      <c r="F24" s="38"/>
      <c r="G24" s="39" t="str">
        <f aca="false">IF(OR(E24="",F24=""),"",E24*100-F24)</f>
        <v/>
      </c>
      <c r="H24" s="22"/>
      <c r="I24" s="12" t="str">
        <f aca="false">IF(OR(H24="",F24="",N(F24)=0),"",H24/(F24/100))</f>
        <v/>
      </c>
      <c r="J24" s="40" t="str">
        <f aca="false">IF(G24="","",IF(AND(G24&gt;=$B$5,F24&gt;=5,F24&lt;=95),"YES","NO"))</f>
        <v/>
      </c>
      <c r="K24" s="19"/>
      <c r="L24" s="19"/>
      <c r="M24" s="18"/>
      <c r="N24" s="10" t="str">
        <f aca="false">IF(L24="Won",I24-H24,IF(L24="Lost",-H24,""))</f>
        <v/>
      </c>
      <c r="O24" s="19"/>
    </row>
    <row r="25" customFormat="false" ht="15" hidden="false" customHeight="false" outlineLevel="0" collapsed="false">
      <c r="A25" s="18"/>
      <c r="B25" s="19"/>
      <c r="C25" s="19"/>
      <c r="D25" s="19"/>
      <c r="E25" s="37"/>
      <c r="F25" s="38"/>
      <c r="G25" s="39" t="str">
        <f aca="false">IF(OR(E25="",F25=""),"",E25*100-F25)</f>
        <v/>
      </c>
      <c r="H25" s="22"/>
      <c r="I25" s="12" t="str">
        <f aca="false">IF(OR(H25="",F25="",N(F25)=0),"",H25/(F25/100))</f>
        <v/>
      </c>
      <c r="J25" s="40" t="str">
        <f aca="false">IF(G25="","",IF(AND(G25&gt;=$B$5,F25&gt;=5,F25&lt;=95),"YES","NO"))</f>
        <v/>
      </c>
      <c r="K25" s="19"/>
      <c r="L25" s="19"/>
      <c r="M25" s="18"/>
      <c r="N25" s="10" t="str">
        <f aca="false">IF(L25="Won",I25-H25,IF(L25="Lost",-H25,""))</f>
        <v/>
      </c>
      <c r="O25" s="19"/>
    </row>
    <row r="26" customFormat="false" ht="15" hidden="false" customHeight="false" outlineLevel="0" collapsed="false">
      <c r="A26" s="18"/>
      <c r="B26" s="19"/>
      <c r="C26" s="19"/>
      <c r="D26" s="19"/>
      <c r="E26" s="37"/>
      <c r="F26" s="38"/>
      <c r="G26" s="39" t="str">
        <f aca="false">IF(OR(E26="",F26=""),"",E26*100-F26)</f>
        <v/>
      </c>
      <c r="H26" s="22"/>
      <c r="I26" s="12" t="str">
        <f aca="false">IF(OR(H26="",F26="",N(F26)=0),"",H26/(F26/100))</f>
        <v/>
      </c>
      <c r="J26" s="40" t="str">
        <f aca="false">IF(G26="","",IF(AND(G26&gt;=$B$5,F26&gt;=5,F26&lt;=95),"YES","NO"))</f>
        <v/>
      </c>
      <c r="K26" s="19"/>
      <c r="L26" s="19"/>
      <c r="M26" s="18"/>
      <c r="N26" s="10" t="str">
        <f aca="false">IF(L26="Won",I26-H26,IF(L26="Lost",-H26,""))</f>
        <v/>
      </c>
      <c r="O26" s="19"/>
    </row>
    <row r="27" customFormat="false" ht="15" hidden="false" customHeight="false" outlineLevel="0" collapsed="false">
      <c r="A27" s="18"/>
      <c r="B27" s="19"/>
      <c r="C27" s="19"/>
      <c r="D27" s="19"/>
      <c r="E27" s="37"/>
      <c r="F27" s="38"/>
      <c r="G27" s="39" t="str">
        <f aca="false">IF(OR(E27="",F27=""),"",E27*100-F27)</f>
        <v/>
      </c>
      <c r="H27" s="22"/>
      <c r="I27" s="12" t="str">
        <f aca="false">IF(OR(H27="",F27="",N(F27)=0),"",H27/(F27/100))</f>
        <v/>
      </c>
      <c r="J27" s="40" t="str">
        <f aca="false">IF(G27="","",IF(AND(G27&gt;=$B$5,F27&gt;=5,F27&lt;=95),"YES","NO"))</f>
        <v/>
      </c>
      <c r="K27" s="19"/>
      <c r="L27" s="19"/>
      <c r="M27" s="18"/>
      <c r="N27" s="10" t="str">
        <f aca="false">IF(L27="Won",I27-H27,IF(L27="Lost",-H27,""))</f>
        <v/>
      </c>
      <c r="O27" s="19"/>
    </row>
    <row r="28" customFormat="false" ht="15" hidden="false" customHeight="false" outlineLevel="0" collapsed="false">
      <c r="A28" s="18"/>
      <c r="B28" s="19"/>
      <c r="C28" s="19"/>
      <c r="D28" s="19"/>
      <c r="E28" s="37"/>
      <c r="F28" s="38"/>
      <c r="G28" s="39" t="str">
        <f aca="false">IF(OR(E28="",F28=""),"",E28*100-F28)</f>
        <v/>
      </c>
      <c r="H28" s="22"/>
      <c r="I28" s="12" t="str">
        <f aca="false">IF(OR(H28="",F28="",N(F28)=0),"",H28/(F28/100))</f>
        <v/>
      </c>
      <c r="J28" s="40" t="str">
        <f aca="false">IF(G28="","",IF(AND(G28&gt;=$B$5,F28&gt;=5,F28&lt;=95),"YES","NO"))</f>
        <v/>
      </c>
      <c r="K28" s="19"/>
      <c r="L28" s="19"/>
      <c r="M28" s="18"/>
      <c r="N28" s="10" t="str">
        <f aca="false">IF(L28="Won",I28-H28,IF(L28="Lost",-H28,""))</f>
        <v/>
      </c>
      <c r="O28" s="19"/>
    </row>
    <row r="29" customFormat="false" ht="15" hidden="false" customHeight="false" outlineLevel="0" collapsed="false">
      <c r="A29" s="18"/>
      <c r="B29" s="19"/>
      <c r="C29" s="19"/>
      <c r="D29" s="19"/>
      <c r="E29" s="37"/>
      <c r="F29" s="38"/>
      <c r="G29" s="39" t="str">
        <f aca="false">IF(OR(E29="",F29=""),"",E29*100-F29)</f>
        <v/>
      </c>
      <c r="H29" s="22"/>
      <c r="I29" s="12" t="str">
        <f aca="false">IF(OR(H29="",F29="",N(F29)=0),"",H29/(F29/100))</f>
        <v/>
      </c>
      <c r="J29" s="40" t="str">
        <f aca="false">IF(G29="","",IF(AND(G29&gt;=$B$5,F29&gt;=5,F29&lt;=95),"YES","NO"))</f>
        <v/>
      </c>
      <c r="K29" s="19"/>
      <c r="L29" s="19"/>
      <c r="M29" s="18"/>
      <c r="N29" s="10" t="str">
        <f aca="false">IF(L29="Won",I29-H29,IF(L29="Lost",-H29,""))</f>
        <v/>
      </c>
      <c r="O29" s="19"/>
    </row>
    <row r="30" customFormat="false" ht="15" hidden="false" customHeight="false" outlineLevel="0" collapsed="false">
      <c r="A30" s="18"/>
      <c r="B30" s="19"/>
      <c r="C30" s="19"/>
      <c r="D30" s="19"/>
      <c r="E30" s="37"/>
      <c r="F30" s="38"/>
      <c r="G30" s="39" t="str">
        <f aca="false">IF(OR(E30="",F30=""),"",E30*100-F30)</f>
        <v/>
      </c>
      <c r="H30" s="22"/>
      <c r="I30" s="12" t="str">
        <f aca="false">IF(OR(H30="",F30="",N(F30)=0),"",H30/(F30/100))</f>
        <v/>
      </c>
      <c r="J30" s="40" t="str">
        <f aca="false">IF(G30="","",IF(AND(G30&gt;=$B$5,F30&gt;=5,F30&lt;=95),"YES","NO"))</f>
        <v/>
      </c>
      <c r="K30" s="19"/>
      <c r="L30" s="19"/>
      <c r="M30" s="18"/>
      <c r="N30" s="10" t="str">
        <f aca="false">IF(L30="Won",I30-H30,IF(L30="Lost",-H30,""))</f>
        <v/>
      </c>
      <c r="O30" s="19"/>
    </row>
    <row r="31" customFormat="false" ht="15" hidden="false" customHeight="false" outlineLevel="0" collapsed="false">
      <c r="A31" s="18"/>
      <c r="B31" s="19"/>
      <c r="C31" s="19"/>
      <c r="D31" s="19"/>
      <c r="E31" s="37"/>
      <c r="F31" s="38"/>
      <c r="G31" s="39" t="str">
        <f aca="false">IF(OR(E31="",F31=""),"",E31*100-F31)</f>
        <v/>
      </c>
      <c r="H31" s="22"/>
      <c r="I31" s="12" t="str">
        <f aca="false">IF(OR(H31="",F31="",N(F31)=0),"",H31/(F31/100))</f>
        <v/>
      </c>
      <c r="J31" s="40" t="str">
        <f aca="false">IF(G31="","",IF(AND(G31&gt;=$B$5,F31&gt;=5,F31&lt;=95),"YES","NO"))</f>
        <v/>
      </c>
      <c r="K31" s="19"/>
      <c r="L31" s="19"/>
      <c r="M31" s="18"/>
      <c r="N31" s="10" t="str">
        <f aca="false">IF(L31="Won",I31-H31,IF(L31="Lost",-H31,""))</f>
        <v/>
      </c>
      <c r="O31" s="19"/>
    </row>
    <row r="32" customFormat="false" ht="15" hidden="false" customHeight="false" outlineLevel="0" collapsed="false">
      <c r="A32" s="18"/>
      <c r="B32" s="19"/>
      <c r="C32" s="19"/>
      <c r="D32" s="19"/>
      <c r="E32" s="37"/>
      <c r="F32" s="38"/>
      <c r="G32" s="39" t="str">
        <f aca="false">IF(OR(E32="",F32=""),"",E32*100-F32)</f>
        <v/>
      </c>
      <c r="H32" s="22"/>
      <c r="I32" s="12" t="str">
        <f aca="false">IF(OR(H32="",F32="",N(F32)=0),"",H32/(F32/100))</f>
        <v/>
      </c>
      <c r="J32" s="40" t="str">
        <f aca="false">IF(G32="","",IF(AND(G32&gt;=$B$5,F32&gt;=5,F32&lt;=95),"YES","NO"))</f>
        <v/>
      </c>
      <c r="K32" s="19"/>
      <c r="L32" s="19"/>
      <c r="M32" s="18"/>
      <c r="N32" s="10" t="str">
        <f aca="false">IF(L32="Won",I32-H32,IF(L32="Lost",-H32,""))</f>
        <v/>
      </c>
      <c r="O32" s="19"/>
    </row>
    <row r="33" customFormat="false" ht="15" hidden="false" customHeight="false" outlineLevel="0" collapsed="false">
      <c r="A33" s="18"/>
      <c r="B33" s="19"/>
      <c r="C33" s="19"/>
      <c r="D33" s="19"/>
      <c r="E33" s="37"/>
      <c r="F33" s="38"/>
      <c r="G33" s="39" t="str">
        <f aca="false">IF(OR(E33="",F33=""),"",E33*100-F33)</f>
        <v/>
      </c>
      <c r="H33" s="22"/>
      <c r="I33" s="12" t="str">
        <f aca="false">IF(OR(H33="",F33="",N(F33)=0),"",H33/(F33/100))</f>
        <v/>
      </c>
      <c r="J33" s="40" t="str">
        <f aca="false">IF(G33="","",IF(AND(G33&gt;=$B$5,F33&gt;=5,F33&lt;=95),"YES","NO"))</f>
        <v/>
      </c>
      <c r="K33" s="19"/>
      <c r="L33" s="19"/>
      <c r="M33" s="18"/>
      <c r="N33" s="10" t="str">
        <f aca="false">IF(L33="Won",I33-H33,IF(L33="Lost",-H33,""))</f>
        <v/>
      </c>
      <c r="O33" s="19"/>
    </row>
    <row r="34" customFormat="false" ht="15" hidden="false" customHeight="false" outlineLevel="0" collapsed="false">
      <c r="A34" s="18"/>
      <c r="B34" s="19"/>
      <c r="C34" s="19"/>
      <c r="D34" s="19"/>
      <c r="E34" s="37"/>
      <c r="F34" s="38"/>
      <c r="G34" s="39" t="str">
        <f aca="false">IF(OR(E34="",F34=""),"",E34*100-F34)</f>
        <v/>
      </c>
      <c r="H34" s="22"/>
      <c r="I34" s="12" t="str">
        <f aca="false">IF(OR(H34="",F34="",N(F34)=0),"",H34/(F34/100))</f>
        <v/>
      </c>
      <c r="J34" s="40" t="str">
        <f aca="false">IF(G34="","",IF(AND(G34&gt;=$B$5,F34&gt;=5,F34&lt;=95),"YES","NO"))</f>
        <v/>
      </c>
      <c r="K34" s="19"/>
      <c r="L34" s="19"/>
      <c r="M34" s="18"/>
      <c r="N34" s="10" t="str">
        <f aca="false">IF(L34="Won",I34-H34,IF(L34="Lost",-H34,""))</f>
        <v/>
      </c>
      <c r="O34" s="19"/>
    </row>
    <row r="35" customFormat="false" ht="15" hidden="false" customHeight="false" outlineLevel="0" collapsed="false">
      <c r="A35" s="18"/>
      <c r="B35" s="19"/>
      <c r="C35" s="19"/>
      <c r="D35" s="19"/>
      <c r="E35" s="37"/>
      <c r="F35" s="38"/>
      <c r="G35" s="39" t="str">
        <f aca="false">IF(OR(E35="",F35=""),"",E35*100-F35)</f>
        <v/>
      </c>
      <c r="H35" s="22"/>
      <c r="I35" s="12" t="str">
        <f aca="false">IF(OR(H35="",F35="",N(F35)=0),"",H35/(F35/100))</f>
        <v/>
      </c>
      <c r="J35" s="40" t="str">
        <f aca="false">IF(G35="","",IF(AND(G35&gt;=$B$5,F35&gt;=5,F35&lt;=95),"YES","NO"))</f>
        <v/>
      </c>
      <c r="K35" s="19"/>
      <c r="L35" s="19"/>
      <c r="M35" s="18"/>
      <c r="N35" s="10" t="str">
        <f aca="false">IF(L35="Won",I35-H35,IF(L35="Lost",-H35,""))</f>
        <v/>
      </c>
      <c r="O35" s="19"/>
    </row>
    <row r="36" customFormat="false" ht="15" hidden="false" customHeight="false" outlineLevel="0" collapsed="false">
      <c r="A36" s="18"/>
      <c r="B36" s="19"/>
      <c r="C36" s="19"/>
      <c r="D36" s="19"/>
      <c r="E36" s="37"/>
      <c r="F36" s="38"/>
      <c r="G36" s="39" t="str">
        <f aca="false">IF(OR(E36="",F36=""),"",E36*100-F36)</f>
        <v/>
      </c>
      <c r="H36" s="22"/>
      <c r="I36" s="12" t="str">
        <f aca="false">IF(OR(H36="",F36="",N(F36)=0),"",H36/(F36/100))</f>
        <v/>
      </c>
      <c r="J36" s="40" t="str">
        <f aca="false">IF(G36="","",IF(AND(G36&gt;=$B$5,F36&gt;=5,F36&lt;=95),"YES","NO"))</f>
        <v/>
      </c>
      <c r="K36" s="19"/>
      <c r="L36" s="19"/>
      <c r="M36" s="18"/>
      <c r="N36" s="10" t="str">
        <f aca="false">IF(L36="Won",I36-H36,IF(L36="Lost",-H36,""))</f>
        <v/>
      </c>
      <c r="O36" s="19"/>
    </row>
    <row r="37" customFormat="false" ht="15" hidden="false" customHeight="false" outlineLevel="0" collapsed="false">
      <c r="A37" s="18"/>
      <c r="B37" s="19"/>
      <c r="C37" s="19"/>
      <c r="D37" s="19"/>
      <c r="E37" s="37"/>
      <c r="F37" s="38"/>
      <c r="G37" s="39" t="str">
        <f aca="false">IF(OR(E37="",F37=""),"",E37*100-F37)</f>
        <v/>
      </c>
      <c r="H37" s="22"/>
      <c r="I37" s="12" t="str">
        <f aca="false">IF(OR(H37="",F37="",N(F37)=0),"",H37/(F37/100))</f>
        <v/>
      </c>
      <c r="J37" s="40" t="str">
        <f aca="false">IF(G37="","",IF(AND(G37&gt;=$B$5,F37&gt;=5,F37&lt;=95),"YES","NO"))</f>
        <v/>
      </c>
      <c r="K37" s="19"/>
      <c r="L37" s="19"/>
      <c r="M37" s="18"/>
      <c r="N37" s="10" t="str">
        <f aca="false">IF(L37="Won",I37-H37,IF(L37="Lost",-H37,""))</f>
        <v/>
      </c>
      <c r="O37" s="19"/>
    </row>
    <row r="38" customFormat="false" ht="15" hidden="false" customHeight="false" outlineLevel="0" collapsed="false">
      <c r="A38" s="18"/>
      <c r="B38" s="19"/>
      <c r="C38" s="19"/>
      <c r="D38" s="19"/>
      <c r="E38" s="37"/>
      <c r="F38" s="38"/>
      <c r="G38" s="39" t="str">
        <f aca="false">IF(OR(E38="",F38=""),"",E38*100-F38)</f>
        <v/>
      </c>
      <c r="H38" s="22"/>
      <c r="I38" s="12" t="str">
        <f aca="false">IF(OR(H38="",F38="",N(F38)=0),"",H38/(F38/100))</f>
        <v/>
      </c>
      <c r="J38" s="40" t="str">
        <f aca="false">IF(G38="","",IF(AND(G38&gt;=$B$5,F38&gt;=5,F38&lt;=95),"YES","NO"))</f>
        <v/>
      </c>
      <c r="K38" s="19"/>
      <c r="L38" s="19"/>
      <c r="M38" s="18"/>
      <c r="N38" s="10" t="str">
        <f aca="false">IF(L38="Won",I38-H38,IF(L38="Lost",-H38,""))</f>
        <v/>
      </c>
      <c r="O38" s="19"/>
    </row>
    <row r="39" customFormat="false" ht="15" hidden="false" customHeight="false" outlineLevel="0" collapsed="false">
      <c r="A39" s="18"/>
      <c r="B39" s="19"/>
      <c r="C39" s="19"/>
      <c r="D39" s="19"/>
      <c r="E39" s="37"/>
      <c r="F39" s="38"/>
      <c r="G39" s="39" t="str">
        <f aca="false">IF(OR(E39="",F39=""),"",E39*100-F39)</f>
        <v/>
      </c>
      <c r="H39" s="22"/>
      <c r="I39" s="12" t="str">
        <f aca="false">IF(OR(H39="",F39="",N(F39)=0),"",H39/(F39/100))</f>
        <v/>
      </c>
      <c r="J39" s="40" t="str">
        <f aca="false">IF(G39="","",IF(AND(G39&gt;=$B$5,F39&gt;=5,F39&lt;=95),"YES","NO"))</f>
        <v/>
      </c>
      <c r="K39" s="19"/>
      <c r="L39" s="19"/>
      <c r="M39" s="18"/>
      <c r="N39" s="10" t="str">
        <f aca="false">IF(L39="Won",I39-H39,IF(L39="Lost",-H39,""))</f>
        <v/>
      </c>
      <c r="O39" s="19"/>
    </row>
    <row r="40" customFormat="false" ht="15" hidden="false" customHeight="false" outlineLevel="0" collapsed="false">
      <c r="A40" s="18"/>
      <c r="B40" s="19"/>
      <c r="C40" s="19"/>
      <c r="D40" s="19"/>
      <c r="E40" s="37"/>
      <c r="F40" s="38"/>
      <c r="G40" s="39" t="str">
        <f aca="false">IF(OR(E40="",F40=""),"",E40*100-F40)</f>
        <v/>
      </c>
      <c r="H40" s="22"/>
      <c r="I40" s="12" t="str">
        <f aca="false">IF(OR(H40="",F40="",N(F40)=0),"",H40/(F40/100))</f>
        <v/>
      </c>
      <c r="J40" s="40" t="str">
        <f aca="false">IF(G40="","",IF(AND(G40&gt;=$B$5,F40&gt;=5,F40&lt;=95),"YES","NO"))</f>
        <v/>
      </c>
      <c r="K40" s="19"/>
      <c r="L40" s="19"/>
      <c r="M40" s="18"/>
      <c r="N40" s="10" t="str">
        <f aca="false">IF(L40="Won",I40-H40,IF(L40="Lost",-H40,""))</f>
        <v/>
      </c>
      <c r="O40" s="19"/>
    </row>
    <row r="41" customFormat="false" ht="15" hidden="false" customHeight="false" outlineLevel="0" collapsed="false">
      <c r="A41" s="18"/>
      <c r="B41" s="19"/>
      <c r="C41" s="19"/>
      <c r="D41" s="19"/>
      <c r="E41" s="37"/>
      <c r="F41" s="38"/>
      <c r="G41" s="39" t="str">
        <f aca="false">IF(OR(E41="",F41=""),"",E41*100-F41)</f>
        <v/>
      </c>
      <c r="H41" s="22"/>
      <c r="I41" s="12" t="str">
        <f aca="false">IF(OR(H41="",F41="",N(F41)=0),"",H41/(F41/100))</f>
        <v/>
      </c>
      <c r="J41" s="40" t="str">
        <f aca="false">IF(G41="","",IF(AND(G41&gt;=$B$5,F41&gt;=5,F41&lt;=95),"YES","NO"))</f>
        <v/>
      </c>
      <c r="K41" s="19"/>
      <c r="L41" s="19"/>
      <c r="M41" s="18"/>
      <c r="N41" s="10" t="str">
        <f aca="false">IF(L41="Won",I41-H41,IF(L41="Lost",-H41,""))</f>
        <v/>
      </c>
      <c r="O41" s="19"/>
    </row>
    <row r="42" customFormat="false" ht="15" hidden="false" customHeight="false" outlineLevel="0" collapsed="false">
      <c r="A42" s="18"/>
      <c r="B42" s="19"/>
      <c r="C42" s="19"/>
      <c r="D42" s="19"/>
      <c r="E42" s="37"/>
      <c r="F42" s="38"/>
      <c r="G42" s="39" t="str">
        <f aca="false">IF(OR(E42="",F42=""),"",E42*100-F42)</f>
        <v/>
      </c>
      <c r="H42" s="22"/>
      <c r="I42" s="12" t="str">
        <f aca="false">IF(OR(H42="",F42="",N(F42)=0),"",H42/(F42/100))</f>
        <v/>
      </c>
      <c r="J42" s="40" t="str">
        <f aca="false">IF(G42="","",IF(AND(G42&gt;=$B$5,F42&gt;=5,F42&lt;=95),"YES","NO"))</f>
        <v/>
      </c>
      <c r="K42" s="19"/>
      <c r="L42" s="19"/>
      <c r="M42" s="18"/>
      <c r="N42" s="10" t="str">
        <f aca="false">IF(L42="Won",I42-H42,IF(L42="Lost",-H42,""))</f>
        <v/>
      </c>
      <c r="O42" s="19"/>
    </row>
    <row r="43" customFormat="false" ht="15" hidden="false" customHeight="false" outlineLevel="0" collapsed="false">
      <c r="A43" s="18"/>
      <c r="B43" s="19"/>
      <c r="C43" s="19"/>
      <c r="D43" s="19"/>
      <c r="E43" s="37"/>
      <c r="F43" s="38"/>
      <c r="G43" s="39" t="str">
        <f aca="false">IF(OR(E43="",F43=""),"",E43*100-F43)</f>
        <v/>
      </c>
      <c r="H43" s="22"/>
      <c r="I43" s="12" t="str">
        <f aca="false">IF(OR(H43="",F43="",N(F43)=0),"",H43/(F43/100))</f>
        <v/>
      </c>
      <c r="J43" s="40" t="str">
        <f aca="false">IF(G43="","",IF(AND(G43&gt;=$B$5,F43&gt;=5,F43&lt;=95),"YES","NO"))</f>
        <v/>
      </c>
      <c r="K43" s="19"/>
      <c r="L43" s="19"/>
      <c r="M43" s="18"/>
      <c r="N43" s="10" t="str">
        <f aca="false">IF(L43="Won",I43-H43,IF(L43="Lost",-H43,""))</f>
        <v/>
      </c>
      <c r="O43" s="19"/>
    </row>
    <row r="44" customFormat="false" ht="15" hidden="false" customHeight="false" outlineLevel="0" collapsed="false">
      <c r="A44" s="18"/>
      <c r="B44" s="19"/>
      <c r="C44" s="19"/>
      <c r="D44" s="19"/>
      <c r="E44" s="37"/>
      <c r="F44" s="38"/>
      <c r="G44" s="39" t="str">
        <f aca="false">IF(OR(E44="",F44=""),"",E44*100-F44)</f>
        <v/>
      </c>
      <c r="H44" s="22"/>
      <c r="I44" s="12" t="str">
        <f aca="false">IF(OR(H44="",F44="",N(F44)=0),"",H44/(F44/100))</f>
        <v/>
      </c>
      <c r="J44" s="40" t="str">
        <f aca="false">IF(G44="","",IF(AND(G44&gt;=$B$5,F44&gt;=5,F44&lt;=95),"YES","NO"))</f>
        <v/>
      </c>
      <c r="K44" s="19"/>
      <c r="L44" s="19"/>
      <c r="M44" s="18"/>
      <c r="N44" s="10" t="str">
        <f aca="false">IF(L44="Won",I44-H44,IF(L44="Lost",-H44,""))</f>
        <v/>
      </c>
      <c r="O44" s="19"/>
    </row>
    <row r="45" customFormat="false" ht="15" hidden="false" customHeight="false" outlineLevel="0" collapsed="false">
      <c r="A45" s="18"/>
      <c r="B45" s="19"/>
      <c r="C45" s="19"/>
      <c r="D45" s="19"/>
      <c r="E45" s="37"/>
      <c r="F45" s="38"/>
      <c r="G45" s="39" t="str">
        <f aca="false">IF(OR(E45="",F45=""),"",E45*100-F45)</f>
        <v/>
      </c>
      <c r="H45" s="22"/>
      <c r="I45" s="12" t="str">
        <f aca="false">IF(OR(H45="",F45="",N(F45)=0),"",H45/(F45/100))</f>
        <v/>
      </c>
      <c r="J45" s="40" t="str">
        <f aca="false">IF(G45="","",IF(AND(G45&gt;=$B$5,F45&gt;=5,F45&lt;=95),"YES","NO"))</f>
        <v/>
      </c>
      <c r="K45" s="19"/>
      <c r="L45" s="19"/>
      <c r="M45" s="18"/>
      <c r="N45" s="10" t="str">
        <f aca="false">IF(L45="Won",I45-H45,IF(L45="Lost",-H45,""))</f>
        <v/>
      </c>
      <c r="O45" s="19"/>
    </row>
    <row r="46" customFormat="false" ht="15" hidden="false" customHeight="false" outlineLevel="0" collapsed="false">
      <c r="A46" s="18"/>
      <c r="B46" s="19"/>
      <c r="C46" s="19"/>
      <c r="D46" s="19"/>
      <c r="E46" s="37"/>
      <c r="F46" s="38"/>
      <c r="G46" s="39" t="str">
        <f aca="false">IF(OR(E46="",F46=""),"",E46*100-F46)</f>
        <v/>
      </c>
      <c r="H46" s="22"/>
      <c r="I46" s="12" t="str">
        <f aca="false">IF(OR(H46="",F46="",N(F46)=0),"",H46/(F46/100))</f>
        <v/>
      </c>
      <c r="J46" s="40" t="str">
        <f aca="false">IF(G46="","",IF(AND(G46&gt;=$B$5,F46&gt;=5,F46&lt;=95),"YES","NO"))</f>
        <v/>
      </c>
      <c r="K46" s="19"/>
      <c r="L46" s="19"/>
      <c r="M46" s="18"/>
      <c r="N46" s="10" t="str">
        <f aca="false">IF(L46="Won",I46-H46,IF(L46="Lost",-H46,""))</f>
        <v/>
      </c>
      <c r="O46" s="19"/>
    </row>
    <row r="47" customFormat="false" ht="15" hidden="false" customHeight="false" outlineLevel="0" collapsed="false">
      <c r="A47" s="18"/>
      <c r="B47" s="19"/>
      <c r="C47" s="19"/>
      <c r="D47" s="19"/>
      <c r="E47" s="37"/>
      <c r="F47" s="38"/>
      <c r="G47" s="39" t="str">
        <f aca="false">IF(OR(E47="",F47=""),"",E47*100-F47)</f>
        <v/>
      </c>
      <c r="H47" s="22"/>
      <c r="I47" s="12" t="str">
        <f aca="false">IF(OR(H47="",F47="",N(F47)=0),"",H47/(F47/100))</f>
        <v/>
      </c>
      <c r="J47" s="40" t="str">
        <f aca="false">IF(G47="","",IF(AND(G47&gt;=$B$5,F47&gt;=5,F47&lt;=95),"YES","NO"))</f>
        <v/>
      </c>
      <c r="K47" s="19"/>
      <c r="L47" s="19"/>
      <c r="M47" s="18"/>
      <c r="N47" s="10" t="str">
        <f aca="false">IF(L47="Won",I47-H47,IF(L47="Lost",-H47,""))</f>
        <v/>
      </c>
      <c r="O47" s="19"/>
    </row>
    <row r="48" customFormat="false" ht="15" hidden="false" customHeight="false" outlineLevel="0" collapsed="false">
      <c r="A48" s="18"/>
      <c r="B48" s="19"/>
      <c r="C48" s="19"/>
      <c r="D48" s="19"/>
      <c r="E48" s="37"/>
      <c r="F48" s="38"/>
      <c r="G48" s="39" t="str">
        <f aca="false">IF(OR(E48="",F48=""),"",E48*100-F48)</f>
        <v/>
      </c>
      <c r="H48" s="22"/>
      <c r="I48" s="12" t="str">
        <f aca="false">IF(OR(H48="",F48="",N(F48)=0),"",H48/(F48/100))</f>
        <v/>
      </c>
      <c r="J48" s="40" t="str">
        <f aca="false">IF(G48="","",IF(AND(G48&gt;=$B$5,F48&gt;=5,F48&lt;=95),"YES","NO"))</f>
        <v/>
      </c>
      <c r="K48" s="19"/>
      <c r="L48" s="19"/>
      <c r="M48" s="18"/>
      <c r="N48" s="10" t="str">
        <f aca="false">IF(L48="Won",I48-H48,IF(L48="Lost",-H48,""))</f>
        <v/>
      </c>
      <c r="O48" s="19"/>
    </row>
    <row r="49" customFormat="false" ht="15" hidden="false" customHeight="false" outlineLevel="0" collapsed="false">
      <c r="A49" s="18"/>
      <c r="B49" s="19"/>
      <c r="C49" s="19"/>
      <c r="D49" s="19"/>
      <c r="E49" s="37"/>
      <c r="F49" s="38"/>
      <c r="G49" s="39" t="str">
        <f aca="false">IF(OR(E49="",F49=""),"",E49*100-F49)</f>
        <v/>
      </c>
      <c r="H49" s="22"/>
      <c r="I49" s="12" t="str">
        <f aca="false">IF(OR(H49="",F49="",N(F49)=0),"",H49/(F49/100))</f>
        <v/>
      </c>
      <c r="J49" s="40" t="str">
        <f aca="false">IF(G49="","",IF(AND(G49&gt;=$B$5,F49&gt;=5,F49&lt;=95),"YES","NO"))</f>
        <v/>
      </c>
      <c r="K49" s="19"/>
      <c r="L49" s="19"/>
      <c r="M49" s="18"/>
      <c r="N49" s="10" t="str">
        <f aca="false">IF(L49="Won",I49-H49,IF(L49="Lost",-H49,""))</f>
        <v/>
      </c>
      <c r="O49" s="19"/>
    </row>
    <row r="50" customFormat="false" ht="15" hidden="false" customHeight="false" outlineLevel="0" collapsed="false">
      <c r="A50" s="18"/>
      <c r="B50" s="19"/>
      <c r="C50" s="19"/>
      <c r="D50" s="19"/>
      <c r="E50" s="37"/>
      <c r="F50" s="38"/>
      <c r="G50" s="39" t="str">
        <f aca="false">IF(OR(E50="",F50=""),"",E50*100-F50)</f>
        <v/>
      </c>
      <c r="H50" s="22"/>
      <c r="I50" s="12" t="str">
        <f aca="false">IF(OR(H50="",F50="",N(F50)=0),"",H50/(F50/100))</f>
        <v/>
      </c>
      <c r="J50" s="40" t="str">
        <f aca="false">IF(G50="","",IF(AND(G50&gt;=$B$5,F50&gt;=5,F50&lt;=95),"YES","NO"))</f>
        <v/>
      </c>
      <c r="K50" s="19"/>
      <c r="L50" s="19"/>
      <c r="M50" s="18"/>
      <c r="N50" s="10" t="str">
        <f aca="false">IF(L50="Won",I50-H50,IF(L50="Lost",-H50,""))</f>
        <v/>
      </c>
      <c r="O50" s="19"/>
    </row>
    <row r="51" customFormat="false" ht="15" hidden="false" customHeight="false" outlineLevel="0" collapsed="false">
      <c r="A51" s="18"/>
      <c r="B51" s="19"/>
      <c r="C51" s="19"/>
      <c r="D51" s="19"/>
      <c r="E51" s="37"/>
      <c r="F51" s="38"/>
      <c r="G51" s="39" t="str">
        <f aca="false">IF(OR(E51="",F51=""),"",E51*100-F51)</f>
        <v/>
      </c>
      <c r="H51" s="22"/>
      <c r="I51" s="12" t="str">
        <f aca="false">IF(OR(H51="",F51="",N(F51)=0),"",H51/(F51/100))</f>
        <v/>
      </c>
      <c r="J51" s="40" t="str">
        <f aca="false">IF(G51="","",IF(AND(G51&gt;=$B$5,F51&gt;=5,F51&lt;=95),"YES","NO"))</f>
        <v/>
      </c>
      <c r="K51" s="19"/>
      <c r="L51" s="19"/>
      <c r="M51" s="18"/>
      <c r="N51" s="10" t="str">
        <f aca="false">IF(L51="Won",I51-H51,IF(L51="Lost",-H51,""))</f>
        <v/>
      </c>
      <c r="O51" s="19"/>
    </row>
    <row r="52" customFormat="false" ht="15" hidden="false" customHeight="false" outlineLevel="0" collapsed="false">
      <c r="A52" s="18"/>
      <c r="B52" s="19"/>
      <c r="C52" s="19"/>
      <c r="D52" s="19"/>
      <c r="E52" s="37"/>
      <c r="F52" s="38"/>
      <c r="G52" s="39" t="str">
        <f aca="false">IF(OR(E52="",F52=""),"",E52*100-F52)</f>
        <v/>
      </c>
      <c r="H52" s="22"/>
      <c r="I52" s="12" t="str">
        <f aca="false">IF(OR(H52="",F52="",N(F52)=0),"",H52/(F52/100))</f>
        <v/>
      </c>
      <c r="J52" s="40" t="str">
        <f aca="false">IF(G52="","",IF(AND(G52&gt;=$B$5,F52&gt;=5,F52&lt;=95),"YES","NO"))</f>
        <v/>
      </c>
      <c r="K52" s="19"/>
      <c r="L52" s="19"/>
      <c r="M52" s="18"/>
      <c r="N52" s="10" t="str">
        <f aca="false">IF(L52="Won",I52-H52,IF(L52="Lost",-H52,""))</f>
        <v/>
      </c>
      <c r="O52" s="19"/>
    </row>
    <row r="53" customFormat="false" ht="15" hidden="false" customHeight="false" outlineLevel="0" collapsed="false">
      <c r="A53" s="18"/>
      <c r="B53" s="19"/>
      <c r="C53" s="19"/>
      <c r="D53" s="19"/>
      <c r="E53" s="37"/>
      <c r="F53" s="38"/>
      <c r="G53" s="39" t="str">
        <f aca="false">IF(OR(E53="",F53=""),"",E53*100-F53)</f>
        <v/>
      </c>
      <c r="H53" s="22"/>
      <c r="I53" s="12" t="str">
        <f aca="false">IF(OR(H53="",F53="",N(F53)=0),"",H53/(F53/100))</f>
        <v/>
      </c>
      <c r="J53" s="40" t="str">
        <f aca="false">IF(G53="","",IF(AND(G53&gt;=$B$5,F53&gt;=5,F53&lt;=95),"YES","NO"))</f>
        <v/>
      </c>
      <c r="K53" s="19"/>
      <c r="L53" s="19"/>
      <c r="M53" s="18"/>
      <c r="N53" s="10" t="str">
        <f aca="false">IF(L53="Won",I53-H53,IF(L53="Lost",-H53,""))</f>
        <v/>
      </c>
      <c r="O53" s="19"/>
    </row>
    <row r="54" customFormat="false" ht="15" hidden="false" customHeight="false" outlineLevel="0" collapsed="false">
      <c r="A54" s="18"/>
      <c r="B54" s="19"/>
      <c r="C54" s="19"/>
      <c r="D54" s="19"/>
      <c r="E54" s="37"/>
      <c r="F54" s="38"/>
      <c r="G54" s="39" t="str">
        <f aca="false">IF(OR(E54="",F54=""),"",E54*100-F54)</f>
        <v/>
      </c>
      <c r="H54" s="22"/>
      <c r="I54" s="12" t="str">
        <f aca="false">IF(OR(H54="",F54="",N(F54)=0),"",H54/(F54/100))</f>
        <v/>
      </c>
      <c r="J54" s="40" t="str">
        <f aca="false">IF(G54="","",IF(AND(G54&gt;=$B$5,F54&gt;=5,F54&lt;=95),"YES","NO"))</f>
        <v/>
      </c>
      <c r="K54" s="19"/>
      <c r="L54" s="19"/>
      <c r="M54" s="18"/>
      <c r="N54" s="10" t="str">
        <f aca="false">IF(L54="Won",I54-H54,IF(L54="Lost",-H54,""))</f>
        <v/>
      </c>
      <c r="O54" s="19"/>
    </row>
    <row r="55" customFormat="false" ht="15" hidden="false" customHeight="false" outlineLevel="0" collapsed="false">
      <c r="A55" s="18"/>
      <c r="B55" s="19"/>
      <c r="C55" s="19"/>
      <c r="D55" s="19"/>
      <c r="E55" s="37"/>
      <c r="F55" s="38"/>
      <c r="G55" s="39" t="str">
        <f aca="false">IF(OR(E55="",F55=""),"",E55*100-F55)</f>
        <v/>
      </c>
      <c r="H55" s="22"/>
      <c r="I55" s="12" t="str">
        <f aca="false">IF(OR(H55="",F55="",N(F55)=0),"",H55/(F55/100))</f>
        <v/>
      </c>
      <c r="J55" s="40" t="str">
        <f aca="false">IF(G55="","",IF(AND(G55&gt;=$B$5,F55&gt;=5,F55&lt;=95),"YES","NO"))</f>
        <v/>
      </c>
      <c r="K55" s="19"/>
      <c r="L55" s="19"/>
      <c r="M55" s="18"/>
      <c r="N55" s="10" t="str">
        <f aca="false">IF(L55="Won",I55-H55,IF(L55="Lost",-H55,""))</f>
        <v/>
      </c>
      <c r="O55" s="19"/>
    </row>
    <row r="56" customFormat="false" ht="15" hidden="false" customHeight="false" outlineLevel="0" collapsed="false">
      <c r="A56" s="18"/>
      <c r="B56" s="19"/>
      <c r="C56" s="19"/>
      <c r="D56" s="19"/>
      <c r="E56" s="37"/>
      <c r="F56" s="38"/>
      <c r="G56" s="39" t="str">
        <f aca="false">IF(OR(E56="",F56=""),"",E56*100-F56)</f>
        <v/>
      </c>
      <c r="H56" s="22"/>
      <c r="I56" s="12" t="str">
        <f aca="false">IF(OR(H56="",F56="",N(F56)=0),"",H56/(F56/100))</f>
        <v/>
      </c>
      <c r="J56" s="40" t="str">
        <f aca="false">IF(G56="","",IF(AND(G56&gt;=$B$5,F56&gt;=5,F56&lt;=95),"YES","NO"))</f>
        <v/>
      </c>
      <c r="K56" s="19"/>
      <c r="L56" s="19"/>
      <c r="M56" s="18"/>
      <c r="N56" s="10" t="str">
        <f aca="false">IF(L56="Won",I56-H56,IF(L56="Lost",-H56,""))</f>
        <v/>
      </c>
      <c r="O56" s="19"/>
    </row>
    <row r="57" customFormat="false" ht="15" hidden="false" customHeight="false" outlineLevel="0" collapsed="false">
      <c r="A57" s="18"/>
      <c r="B57" s="19"/>
      <c r="C57" s="19"/>
      <c r="D57" s="19"/>
      <c r="E57" s="37"/>
      <c r="F57" s="38"/>
      <c r="G57" s="39" t="str">
        <f aca="false">IF(OR(E57="",F57=""),"",E57*100-F57)</f>
        <v/>
      </c>
      <c r="H57" s="22"/>
      <c r="I57" s="12" t="str">
        <f aca="false">IF(OR(H57="",F57="",N(F57)=0),"",H57/(F57/100))</f>
        <v/>
      </c>
      <c r="J57" s="40" t="str">
        <f aca="false">IF(G57="","",IF(AND(G57&gt;=$B$5,F57&gt;=5,F57&lt;=95),"YES","NO"))</f>
        <v/>
      </c>
      <c r="K57" s="19"/>
      <c r="L57" s="19"/>
      <c r="M57" s="18"/>
      <c r="N57" s="10" t="str">
        <f aca="false">IF(L57="Won",I57-H57,IF(L57="Lost",-H57,""))</f>
        <v/>
      </c>
      <c r="O57" s="19"/>
    </row>
    <row r="58" customFormat="false" ht="15" hidden="false" customHeight="false" outlineLevel="0" collapsed="false">
      <c r="A58" s="18"/>
      <c r="B58" s="19"/>
      <c r="C58" s="19"/>
      <c r="D58" s="19"/>
      <c r="E58" s="37"/>
      <c r="F58" s="38"/>
      <c r="G58" s="39" t="str">
        <f aca="false">IF(OR(E58="",F58=""),"",E58*100-F58)</f>
        <v/>
      </c>
      <c r="H58" s="22"/>
      <c r="I58" s="12" t="str">
        <f aca="false">IF(OR(H58="",F58="",N(F58)=0),"",H58/(F58/100))</f>
        <v/>
      </c>
      <c r="J58" s="40" t="str">
        <f aca="false">IF(G58="","",IF(AND(G58&gt;=$B$5,F58&gt;=5,F58&lt;=95),"YES","NO"))</f>
        <v/>
      </c>
      <c r="K58" s="19"/>
      <c r="L58" s="19"/>
      <c r="M58" s="18"/>
      <c r="N58" s="10" t="str">
        <f aca="false">IF(L58="Won",I58-H58,IF(L58="Lost",-H58,""))</f>
        <v/>
      </c>
      <c r="O58" s="19"/>
    </row>
    <row r="59" customFormat="false" ht="15" hidden="false" customHeight="false" outlineLevel="0" collapsed="false">
      <c r="A59" s="18"/>
      <c r="B59" s="19"/>
      <c r="C59" s="19"/>
      <c r="D59" s="19"/>
      <c r="E59" s="37"/>
      <c r="F59" s="38"/>
      <c r="G59" s="39" t="str">
        <f aca="false">IF(OR(E59="",F59=""),"",E59*100-F59)</f>
        <v/>
      </c>
      <c r="H59" s="22"/>
      <c r="I59" s="12" t="str">
        <f aca="false">IF(OR(H59="",F59="",N(F59)=0),"",H59/(F59/100))</f>
        <v/>
      </c>
      <c r="J59" s="40" t="str">
        <f aca="false">IF(G59="","",IF(AND(G59&gt;=$B$5,F59&gt;=5,F59&lt;=95),"YES","NO"))</f>
        <v/>
      </c>
      <c r="K59" s="19"/>
      <c r="L59" s="19"/>
      <c r="M59" s="18"/>
      <c r="N59" s="10" t="str">
        <f aca="false">IF(L59="Won",I59-H59,IF(L59="Lost",-H59,""))</f>
        <v/>
      </c>
      <c r="O59" s="19"/>
    </row>
    <row r="60" customFormat="false" ht="15" hidden="false" customHeight="false" outlineLevel="0" collapsed="false">
      <c r="A60" s="18"/>
      <c r="B60" s="19"/>
      <c r="C60" s="19"/>
      <c r="D60" s="19"/>
      <c r="E60" s="37"/>
      <c r="F60" s="38"/>
      <c r="G60" s="39" t="str">
        <f aca="false">IF(OR(E60="",F60=""),"",E60*100-F60)</f>
        <v/>
      </c>
      <c r="H60" s="22"/>
      <c r="I60" s="12" t="str">
        <f aca="false">IF(OR(H60="",F60="",N(F60)=0),"",H60/(F60/100))</f>
        <v/>
      </c>
      <c r="J60" s="40" t="str">
        <f aca="false">IF(G60="","",IF(AND(G60&gt;=$B$5,F60&gt;=5,F60&lt;=95),"YES","NO"))</f>
        <v/>
      </c>
      <c r="K60" s="19"/>
      <c r="L60" s="19"/>
      <c r="M60" s="18"/>
      <c r="N60" s="10" t="str">
        <f aca="false">IF(L60="Won",I60-H60,IF(L60="Lost",-H60,""))</f>
        <v/>
      </c>
      <c r="O60" s="19"/>
    </row>
    <row r="61" customFormat="false" ht="15" hidden="false" customHeight="false" outlineLevel="0" collapsed="false">
      <c r="A61" s="18"/>
      <c r="B61" s="19"/>
      <c r="C61" s="19"/>
      <c r="D61" s="19"/>
      <c r="E61" s="37"/>
      <c r="F61" s="38"/>
      <c r="G61" s="39" t="str">
        <f aca="false">IF(OR(E61="",F61=""),"",E61*100-F61)</f>
        <v/>
      </c>
      <c r="H61" s="22"/>
      <c r="I61" s="12" t="str">
        <f aca="false">IF(OR(H61="",F61="",N(F61)=0),"",H61/(F61/100))</f>
        <v/>
      </c>
      <c r="J61" s="40" t="str">
        <f aca="false">IF(G61="","",IF(AND(G61&gt;=$B$5,F61&gt;=5,F61&lt;=95),"YES","NO"))</f>
        <v/>
      </c>
      <c r="K61" s="19"/>
      <c r="L61" s="19"/>
      <c r="M61" s="18"/>
      <c r="N61" s="10" t="str">
        <f aca="false">IF(L61="Won",I61-H61,IF(L61="Lost",-H61,""))</f>
        <v/>
      </c>
      <c r="O61" s="19"/>
    </row>
    <row r="62" customFormat="false" ht="15" hidden="false" customHeight="false" outlineLevel="0" collapsed="false">
      <c r="A62" s="18"/>
      <c r="B62" s="19"/>
      <c r="C62" s="19"/>
      <c r="D62" s="19"/>
      <c r="E62" s="37"/>
      <c r="F62" s="38"/>
      <c r="G62" s="39" t="str">
        <f aca="false">IF(OR(E62="",F62=""),"",E62*100-F62)</f>
        <v/>
      </c>
      <c r="H62" s="22"/>
      <c r="I62" s="12" t="str">
        <f aca="false">IF(OR(H62="",F62="",N(F62)=0),"",H62/(F62/100))</f>
        <v/>
      </c>
      <c r="J62" s="40" t="str">
        <f aca="false">IF(G62="","",IF(AND(G62&gt;=$B$5,F62&gt;=5,F62&lt;=95),"YES","NO"))</f>
        <v/>
      </c>
      <c r="K62" s="19"/>
      <c r="L62" s="19"/>
      <c r="M62" s="18"/>
      <c r="N62" s="10" t="str">
        <f aca="false">IF(L62="Won",I62-H62,IF(L62="Lost",-H62,""))</f>
        <v/>
      </c>
      <c r="O62" s="19"/>
    </row>
    <row r="63" customFormat="false" ht="15" hidden="false" customHeight="false" outlineLevel="0" collapsed="false">
      <c r="A63" s="18"/>
      <c r="B63" s="19"/>
      <c r="C63" s="19"/>
      <c r="D63" s="19"/>
      <c r="E63" s="37"/>
      <c r="F63" s="38"/>
      <c r="G63" s="39" t="str">
        <f aca="false">IF(OR(E63="",F63=""),"",E63*100-F63)</f>
        <v/>
      </c>
      <c r="H63" s="22"/>
      <c r="I63" s="12" t="str">
        <f aca="false">IF(OR(H63="",F63="",N(F63)=0),"",H63/(F63/100))</f>
        <v/>
      </c>
      <c r="J63" s="40" t="str">
        <f aca="false">IF(G63="","",IF(AND(G63&gt;=$B$5,F63&gt;=5,F63&lt;=95),"YES","NO"))</f>
        <v/>
      </c>
      <c r="K63" s="19"/>
      <c r="L63" s="19"/>
      <c r="M63" s="18"/>
      <c r="N63" s="10" t="str">
        <f aca="false">IF(L63="Won",I63-H63,IF(L63="Lost",-H63,""))</f>
        <v/>
      </c>
      <c r="O63" s="19"/>
    </row>
    <row r="64" customFormat="false" ht="15" hidden="false" customHeight="false" outlineLevel="0" collapsed="false">
      <c r="A64" s="18"/>
      <c r="B64" s="19"/>
      <c r="C64" s="19"/>
      <c r="D64" s="19"/>
      <c r="E64" s="37"/>
      <c r="F64" s="38"/>
      <c r="G64" s="39" t="str">
        <f aca="false">IF(OR(E64="",F64=""),"",E64*100-F64)</f>
        <v/>
      </c>
      <c r="H64" s="22"/>
      <c r="I64" s="12" t="str">
        <f aca="false">IF(OR(H64="",F64="",N(F64)=0),"",H64/(F64/100))</f>
        <v/>
      </c>
      <c r="J64" s="40" t="str">
        <f aca="false">IF(G64="","",IF(AND(G64&gt;=$B$5,F64&gt;=5,F64&lt;=95),"YES","NO"))</f>
        <v/>
      </c>
      <c r="K64" s="19"/>
      <c r="L64" s="19"/>
      <c r="M64" s="18"/>
      <c r="N64" s="10" t="str">
        <f aca="false">IF(L64="Won",I64-H64,IF(L64="Lost",-H64,""))</f>
        <v/>
      </c>
      <c r="O64" s="19"/>
    </row>
    <row r="65" customFormat="false" ht="15" hidden="false" customHeight="false" outlineLevel="0" collapsed="false">
      <c r="A65" s="18"/>
      <c r="B65" s="19"/>
      <c r="C65" s="19"/>
      <c r="D65" s="19"/>
      <c r="E65" s="37"/>
      <c r="F65" s="38"/>
      <c r="G65" s="39" t="str">
        <f aca="false">IF(OR(E65="",F65=""),"",E65*100-F65)</f>
        <v/>
      </c>
      <c r="H65" s="22"/>
      <c r="I65" s="12" t="str">
        <f aca="false">IF(OR(H65="",F65="",N(F65)=0),"",H65/(F65/100))</f>
        <v/>
      </c>
      <c r="J65" s="40" t="str">
        <f aca="false">IF(G65="","",IF(AND(G65&gt;=$B$5,F65&gt;=5,F65&lt;=95),"YES","NO"))</f>
        <v/>
      </c>
      <c r="K65" s="19"/>
      <c r="L65" s="19"/>
      <c r="M65" s="18"/>
      <c r="N65" s="10" t="str">
        <f aca="false">IF(L65="Won",I65-H65,IF(L65="Lost",-H65,""))</f>
        <v/>
      </c>
      <c r="O65" s="19"/>
    </row>
    <row r="66" customFormat="false" ht="15" hidden="false" customHeight="false" outlineLevel="0" collapsed="false">
      <c r="A66" s="18"/>
      <c r="B66" s="19"/>
      <c r="C66" s="19"/>
      <c r="D66" s="19"/>
      <c r="E66" s="37"/>
      <c r="F66" s="38"/>
      <c r="G66" s="39" t="str">
        <f aca="false">IF(OR(E66="",F66=""),"",E66*100-F66)</f>
        <v/>
      </c>
      <c r="H66" s="22"/>
      <c r="I66" s="12" t="str">
        <f aca="false">IF(OR(H66="",F66="",N(F66)=0),"",H66/(F66/100))</f>
        <v/>
      </c>
      <c r="J66" s="40" t="str">
        <f aca="false">IF(G66="","",IF(AND(G66&gt;=$B$5,F66&gt;=5,F66&lt;=95),"YES","NO"))</f>
        <v/>
      </c>
      <c r="K66" s="19"/>
      <c r="L66" s="19"/>
      <c r="M66" s="18"/>
      <c r="N66" s="10" t="str">
        <f aca="false">IF(L66="Won",I66-H66,IF(L66="Lost",-H66,""))</f>
        <v/>
      </c>
      <c r="O66" s="19"/>
    </row>
    <row r="67" customFormat="false" ht="15" hidden="false" customHeight="false" outlineLevel="0" collapsed="false">
      <c r="A67" s="18"/>
      <c r="B67" s="19"/>
      <c r="C67" s="19"/>
      <c r="D67" s="19"/>
      <c r="E67" s="37"/>
      <c r="F67" s="38"/>
      <c r="G67" s="39" t="str">
        <f aca="false">IF(OR(E67="",F67=""),"",E67*100-F67)</f>
        <v/>
      </c>
      <c r="H67" s="22"/>
      <c r="I67" s="12" t="str">
        <f aca="false">IF(OR(H67="",F67="",N(F67)=0),"",H67/(F67/100))</f>
        <v/>
      </c>
      <c r="J67" s="40" t="str">
        <f aca="false">IF(G67="","",IF(AND(G67&gt;=$B$5,F67&gt;=5,F67&lt;=95),"YES","NO"))</f>
        <v/>
      </c>
      <c r="K67" s="19"/>
      <c r="L67" s="19"/>
      <c r="M67" s="18"/>
      <c r="N67" s="10" t="str">
        <f aca="false">IF(L67="Won",I67-H67,IF(L67="Lost",-H67,""))</f>
        <v/>
      </c>
      <c r="O67" s="19"/>
    </row>
    <row r="68" customFormat="false" ht="15" hidden="false" customHeight="false" outlineLevel="0" collapsed="false">
      <c r="A68" s="18"/>
      <c r="B68" s="19"/>
      <c r="C68" s="19"/>
      <c r="D68" s="19"/>
      <c r="E68" s="37"/>
      <c r="F68" s="38"/>
      <c r="G68" s="39" t="str">
        <f aca="false">IF(OR(E68="",F68=""),"",E68*100-F68)</f>
        <v/>
      </c>
      <c r="H68" s="22"/>
      <c r="I68" s="12" t="str">
        <f aca="false">IF(OR(H68="",F68="",N(F68)=0),"",H68/(F68/100))</f>
        <v/>
      </c>
      <c r="J68" s="40" t="str">
        <f aca="false">IF(G68="","",IF(AND(G68&gt;=$B$5,F68&gt;=5,F68&lt;=95),"YES","NO"))</f>
        <v/>
      </c>
      <c r="K68" s="19"/>
      <c r="L68" s="19"/>
      <c r="M68" s="18"/>
      <c r="N68" s="10" t="str">
        <f aca="false">IF(L68="Won",I68-H68,IF(L68="Lost",-H68,""))</f>
        <v/>
      </c>
      <c r="O68" s="19"/>
    </row>
    <row r="69" customFormat="false" ht="15" hidden="false" customHeight="false" outlineLevel="0" collapsed="false">
      <c r="A69" s="18"/>
      <c r="B69" s="19"/>
      <c r="C69" s="19"/>
      <c r="D69" s="19"/>
      <c r="E69" s="37"/>
      <c r="F69" s="38"/>
      <c r="G69" s="39" t="str">
        <f aca="false">IF(OR(E69="",F69=""),"",E69*100-F69)</f>
        <v/>
      </c>
      <c r="H69" s="22"/>
      <c r="I69" s="12" t="str">
        <f aca="false">IF(OR(H69="",F69="",N(F69)=0),"",H69/(F69/100))</f>
        <v/>
      </c>
      <c r="J69" s="40" t="str">
        <f aca="false">IF(G69="","",IF(AND(G69&gt;=$B$5,F69&gt;=5,F69&lt;=95),"YES","NO"))</f>
        <v/>
      </c>
      <c r="K69" s="19"/>
      <c r="L69" s="19"/>
      <c r="M69" s="18"/>
      <c r="N69" s="10" t="str">
        <f aca="false">IF(L69="Won",I69-H69,IF(L69="Lost",-H69,""))</f>
        <v/>
      </c>
      <c r="O69" s="19"/>
    </row>
    <row r="70" customFormat="false" ht="15" hidden="false" customHeight="false" outlineLevel="0" collapsed="false">
      <c r="A70" s="18"/>
      <c r="B70" s="19"/>
      <c r="C70" s="19"/>
      <c r="D70" s="19"/>
      <c r="E70" s="37"/>
      <c r="F70" s="38"/>
      <c r="G70" s="39" t="str">
        <f aca="false">IF(OR(E70="",F70=""),"",E70*100-F70)</f>
        <v/>
      </c>
      <c r="H70" s="22"/>
      <c r="I70" s="12" t="str">
        <f aca="false">IF(OR(H70="",F70="",N(F70)=0),"",H70/(F70/100))</f>
        <v/>
      </c>
      <c r="J70" s="40" t="str">
        <f aca="false">IF(G70="","",IF(AND(G70&gt;=$B$5,F70&gt;=5,F70&lt;=95),"YES","NO"))</f>
        <v/>
      </c>
      <c r="K70" s="19"/>
      <c r="L70" s="19"/>
      <c r="M70" s="18"/>
      <c r="N70" s="10" t="str">
        <f aca="false">IF(L70="Won",I70-H70,IF(L70="Lost",-H70,""))</f>
        <v/>
      </c>
      <c r="O70" s="19"/>
    </row>
    <row r="71" customFormat="false" ht="15" hidden="false" customHeight="false" outlineLevel="0" collapsed="false">
      <c r="A71" s="18"/>
      <c r="B71" s="19"/>
      <c r="C71" s="19"/>
      <c r="D71" s="19"/>
      <c r="E71" s="37"/>
      <c r="F71" s="38"/>
      <c r="G71" s="39" t="str">
        <f aca="false">IF(OR(E71="",F71=""),"",E71*100-F71)</f>
        <v/>
      </c>
      <c r="H71" s="22"/>
      <c r="I71" s="12" t="str">
        <f aca="false">IF(OR(H71="",F71="",N(F71)=0),"",H71/(F71/100))</f>
        <v/>
      </c>
      <c r="J71" s="40" t="str">
        <f aca="false">IF(G71="","",IF(AND(G71&gt;=$B$5,F71&gt;=5,F71&lt;=95),"YES","NO"))</f>
        <v/>
      </c>
      <c r="K71" s="19"/>
      <c r="L71" s="19"/>
      <c r="M71" s="18"/>
      <c r="N71" s="10" t="str">
        <f aca="false">IF(L71="Won",I71-H71,IF(L71="Lost",-H71,""))</f>
        <v/>
      </c>
      <c r="O71" s="19"/>
    </row>
    <row r="72" customFormat="false" ht="15" hidden="false" customHeight="false" outlineLevel="0" collapsed="false">
      <c r="A72" s="18"/>
      <c r="B72" s="19"/>
      <c r="C72" s="19"/>
      <c r="D72" s="19"/>
      <c r="E72" s="37"/>
      <c r="F72" s="38"/>
      <c r="G72" s="39" t="str">
        <f aca="false">IF(OR(E72="",F72=""),"",E72*100-F72)</f>
        <v/>
      </c>
      <c r="H72" s="22"/>
      <c r="I72" s="12" t="str">
        <f aca="false">IF(OR(H72="",F72="",N(F72)=0),"",H72/(F72/100))</f>
        <v/>
      </c>
      <c r="J72" s="40" t="str">
        <f aca="false">IF(G72="","",IF(AND(G72&gt;=$B$5,F72&gt;=5,F72&lt;=95),"YES","NO"))</f>
        <v/>
      </c>
      <c r="K72" s="19"/>
      <c r="L72" s="19"/>
      <c r="M72" s="18"/>
      <c r="N72" s="10" t="str">
        <f aca="false">IF(L72="Won",I72-H72,IF(L72="Lost",-H72,""))</f>
        <v/>
      </c>
      <c r="O72" s="19"/>
    </row>
    <row r="73" customFormat="false" ht="15" hidden="false" customHeight="false" outlineLevel="0" collapsed="false">
      <c r="A73" s="18"/>
      <c r="B73" s="19"/>
      <c r="C73" s="19"/>
      <c r="D73" s="19"/>
      <c r="E73" s="37"/>
      <c r="F73" s="38"/>
      <c r="G73" s="39" t="str">
        <f aca="false">IF(OR(E73="",F73=""),"",E73*100-F73)</f>
        <v/>
      </c>
      <c r="H73" s="22"/>
      <c r="I73" s="12" t="str">
        <f aca="false">IF(OR(H73="",F73="",N(F73)=0),"",H73/(F73/100))</f>
        <v/>
      </c>
      <c r="J73" s="40" t="str">
        <f aca="false">IF(G73="","",IF(AND(G73&gt;=$B$5,F73&gt;=5,F73&lt;=95),"YES","NO"))</f>
        <v/>
      </c>
      <c r="K73" s="19"/>
      <c r="L73" s="19"/>
      <c r="M73" s="18"/>
      <c r="N73" s="10" t="str">
        <f aca="false">IF(L73="Won",I73-H73,IF(L73="Lost",-H73,""))</f>
        <v/>
      </c>
      <c r="O73" s="19"/>
    </row>
    <row r="74" customFormat="false" ht="15" hidden="false" customHeight="false" outlineLevel="0" collapsed="false">
      <c r="A74" s="18"/>
      <c r="B74" s="19"/>
      <c r="C74" s="19"/>
      <c r="D74" s="19"/>
      <c r="E74" s="37"/>
      <c r="F74" s="38"/>
      <c r="G74" s="39" t="str">
        <f aca="false">IF(OR(E74="",F74=""),"",E74*100-F74)</f>
        <v/>
      </c>
      <c r="H74" s="22"/>
      <c r="I74" s="12" t="str">
        <f aca="false">IF(OR(H74="",F74="",N(F74)=0),"",H74/(F74/100))</f>
        <v/>
      </c>
      <c r="J74" s="40" t="str">
        <f aca="false">IF(G74="","",IF(AND(G74&gt;=$B$5,F74&gt;=5,F74&lt;=95),"YES","NO"))</f>
        <v/>
      </c>
      <c r="K74" s="19"/>
      <c r="L74" s="19"/>
      <c r="M74" s="18"/>
      <c r="N74" s="10" t="str">
        <f aca="false">IF(L74="Won",I74-H74,IF(L74="Lost",-H74,""))</f>
        <v/>
      </c>
      <c r="O74" s="19"/>
    </row>
    <row r="75" customFormat="false" ht="15" hidden="false" customHeight="false" outlineLevel="0" collapsed="false">
      <c r="A75" s="18"/>
      <c r="B75" s="19"/>
      <c r="C75" s="19"/>
      <c r="D75" s="19"/>
      <c r="E75" s="37"/>
      <c r="F75" s="38"/>
      <c r="G75" s="39" t="str">
        <f aca="false">IF(OR(E75="",F75=""),"",E75*100-F75)</f>
        <v/>
      </c>
      <c r="H75" s="22"/>
      <c r="I75" s="12" t="str">
        <f aca="false">IF(OR(H75="",F75="",N(F75)=0),"",H75/(F75/100))</f>
        <v/>
      </c>
      <c r="J75" s="40" t="str">
        <f aca="false">IF(G75="","",IF(AND(G75&gt;=$B$5,F75&gt;=5,F75&lt;=95),"YES","NO"))</f>
        <v/>
      </c>
      <c r="K75" s="19"/>
      <c r="L75" s="19"/>
      <c r="M75" s="18"/>
      <c r="N75" s="10" t="str">
        <f aca="false">IF(L75="Won",I75-H75,IF(L75="Lost",-H75,""))</f>
        <v/>
      </c>
      <c r="O75" s="19"/>
    </row>
    <row r="76" customFormat="false" ht="15" hidden="false" customHeight="false" outlineLevel="0" collapsed="false">
      <c r="A76" s="18"/>
      <c r="B76" s="19"/>
      <c r="C76" s="19"/>
      <c r="D76" s="19"/>
      <c r="E76" s="37"/>
      <c r="F76" s="38"/>
      <c r="G76" s="39" t="str">
        <f aca="false">IF(OR(E76="",F76=""),"",E76*100-F76)</f>
        <v/>
      </c>
      <c r="H76" s="22"/>
      <c r="I76" s="12" t="str">
        <f aca="false">IF(OR(H76="",F76="",N(F76)=0),"",H76/(F76/100))</f>
        <v/>
      </c>
      <c r="J76" s="40" t="str">
        <f aca="false">IF(G76="","",IF(AND(G76&gt;=$B$5,F76&gt;=5,F76&lt;=95),"YES","NO"))</f>
        <v/>
      </c>
      <c r="K76" s="19"/>
      <c r="L76" s="19"/>
      <c r="M76" s="18"/>
      <c r="N76" s="10" t="str">
        <f aca="false">IF(L76="Won",I76-H76,IF(L76="Lost",-H76,""))</f>
        <v/>
      </c>
      <c r="O76" s="19"/>
    </row>
    <row r="77" customFormat="false" ht="15" hidden="false" customHeight="false" outlineLevel="0" collapsed="false">
      <c r="A77" s="18"/>
      <c r="B77" s="19"/>
      <c r="C77" s="19"/>
      <c r="D77" s="19"/>
      <c r="E77" s="37"/>
      <c r="F77" s="38"/>
      <c r="G77" s="39" t="str">
        <f aca="false">IF(OR(E77="",F77=""),"",E77*100-F77)</f>
        <v/>
      </c>
      <c r="H77" s="22"/>
      <c r="I77" s="12" t="str">
        <f aca="false">IF(OR(H77="",F77="",N(F77)=0),"",H77/(F77/100))</f>
        <v/>
      </c>
      <c r="J77" s="40" t="str">
        <f aca="false">IF(G77="","",IF(AND(G77&gt;=$B$5,F77&gt;=5,F77&lt;=95),"YES","NO"))</f>
        <v/>
      </c>
      <c r="K77" s="19"/>
      <c r="L77" s="19"/>
      <c r="M77" s="18"/>
      <c r="N77" s="10" t="str">
        <f aca="false">IF(L77="Won",I77-H77,IF(L77="Lost",-H77,""))</f>
        <v/>
      </c>
      <c r="O77" s="19"/>
    </row>
    <row r="78" customFormat="false" ht="15" hidden="false" customHeight="false" outlineLevel="0" collapsed="false">
      <c r="A78" s="18"/>
      <c r="B78" s="19"/>
      <c r="C78" s="19"/>
      <c r="D78" s="19"/>
      <c r="E78" s="37"/>
      <c r="F78" s="38"/>
      <c r="G78" s="39" t="str">
        <f aca="false">IF(OR(E78="",F78=""),"",E78*100-F78)</f>
        <v/>
      </c>
      <c r="H78" s="22"/>
      <c r="I78" s="12" t="str">
        <f aca="false">IF(OR(H78="",F78="",N(F78)=0),"",H78/(F78/100))</f>
        <v/>
      </c>
      <c r="J78" s="40" t="str">
        <f aca="false">IF(G78="","",IF(AND(G78&gt;=$B$5,F78&gt;=5,F78&lt;=95),"YES","NO"))</f>
        <v/>
      </c>
      <c r="K78" s="19"/>
      <c r="L78" s="19"/>
      <c r="M78" s="18"/>
      <c r="N78" s="10" t="str">
        <f aca="false">IF(L78="Won",I78-H78,IF(L78="Lost",-H78,""))</f>
        <v/>
      </c>
      <c r="O78" s="19"/>
    </row>
    <row r="79" customFormat="false" ht="15" hidden="false" customHeight="false" outlineLevel="0" collapsed="false">
      <c r="A79" s="18"/>
      <c r="B79" s="19"/>
      <c r="C79" s="19"/>
      <c r="D79" s="19"/>
      <c r="E79" s="37"/>
      <c r="F79" s="38"/>
      <c r="G79" s="39" t="str">
        <f aca="false">IF(OR(E79="",F79=""),"",E79*100-F79)</f>
        <v/>
      </c>
      <c r="H79" s="22"/>
      <c r="I79" s="12" t="str">
        <f aca="false">IF(OR(H79="",F79="",N(F79)=0),"",H79/(F79/100))</f>
        <v/>
      </c>
      <c r="J79" s="40" t="str">
        <f aca="false">IF(G79="","",IF(AND(G79&gt;=$B$5,F79&gt;=5,F79&lt;=95),"YES","NO"))</f>
        <v/>
      </c>
      <c r="K79" s="19"/>
      <c r="L79" s="19"/>
      <c r="M79" s="18"/>
      <c r="N79" s="10" t="str">
        <f aca="false">IF(L79="Won",I79-H79,IF(L79="Lost",-H79,""))</f>
        <v/>
      </c>
      <c r="O79" s="19"/>
    </row>
    <row r="80" customFormat="false" ht="15" hidden="false" customHeight="false" outlineLevel="0" collapsed="false">
      <c r="A80" s="18"/>
      <c r="B80" s="19"/>
      <c r="C80" s="19"/>
      <c r="D80" s="19"/>
      <c r="E80" s="37"/>
      <c r="F80" s="38"/>
      <c r="G80" s="39" t="str">
        <f aca="false">IF(OR(E80="",F80=""),"",E80*100-F80)</f>
        <v/>
      </c>
      <c r="H80" s="22"/>
      <c r="I80" s="12" t="str">
        <f aca="false">IF(OR(H80="",F80="",N(F80)=0),"",H80/(F80/100))</f>
        <v/>
      </c>
      <c r="J80" s="40" t="str">
        <f aca="false">IF(G80="","",IF(AND(G80&gt;=$B$5,F80&gt;=5,F80&lt;=95),"YES","NO"))</f>
        <v/>
      </c>
      <c r="K80" s="19"/>
      <c r="L80" s="19"/>
      <c r="M80" s="18"/>
      <c r="N80" s="10" t="str">
        <f aca="false">IF(L80="Won",I80-H80,IF(L80="Lost",-H80,""))</f>
        <v/>
      </c>
      <c r="O80" s="19"/>
    </row>
    <row r="81" customFormat="false" ht="15" hidden="false" customHeight="false" outlineLevel="0" collapsed="false">
      <c r="A81" s="18"/>
      <c r="B81" s="19"/>
      <c r="C81" s="19"/>
      <c r="D81" s="19"/>
      <c r="E81" s="37"/>
      <c r="F81" s="38"/>
      <c r="G81" s="39" t="str">
        <f aca="false">IF(OR(E81="",F81=""),"",E81*100-F81)</f>
        <v/>
      </c>
      <c r="H81" s="22"/>
      <c r="I81" s="12" t="str">
        <f aca="false">IF(OR(H81="",F81="",N(F81)=0),"",H81/(F81/100))</f>
        <v/>
      </c>
      <c r="J81" s="40" t="str">
        <f aca="false">IF(G81="","",IF(AND(G81&gt;=$B$5,F81&gt;=5,F81&lt;=95),"YES","NO"))</f>
        <v/>
      </c>
      <c r="K81" s="19"/>
      <c r="L81" s="19"/>
      <c r="M81" s="18"/>
      <c r="N81" s="10" t="str">
        <f aca="false">IF(L81="Won",I81-H81,IF(L81="Lost",-H81,""))</f>
        <v/>
      </c>
      <c r="O81" s="19"/>
    </row>
    <row r="82" customFormat="false" ht="15" hidden="false" customHeight="false" outlineLevel="0" collapsed="false">
      <c r="A82" s="18"/>
      <c r="B82" s="19"/>
      <c r="C82" s="19"/>
      <c r="D82" s="19"/>
      <c r="E82" s="37"/>
      <c r="F82" s="38"/>
      <c r="G82" s="39" t="str">
        <f aca="false">IF(OR(E82="",F82=""),"",E82*100-F82)</f>
        <v/>
      </c>
      <c r="H82" s="22"/>
      <c r="I82" s="12" t="str">
        <f aca="false">IF(OR(H82="",F82="",N(F82)=0),"",H82/(F82/100))</f>
        <v/>
      </c>
      <c r="J82" s="40" t="str">
        <f aca="false">IF(G82="","",IF(AND(G82&gt;=$B$5,F82&gt;=5,F82&lt;=95),"YES","NO"))</f>
        <v/>
      </c>
      <c r="K82" s="19"/>
      <c r="L82" s="19"/>
      <c r="M82" s="18"/>
      <c r="N82" s="10" t="str">
        <f aca="false">IF(L82="Won",I82-H82,IF(L82="Lost",-H82,""))</f>
        <v/>
      </c>
      <c r="O82" s="19"/>
    </row>
    <row r="83" customFormat="false" ht="15" hidden="false" customHeight="false" outlineLevel="0" collapsed="false">
      <c r="A83" s="18"/>
      <c r="B83" s="19"/>
      <c r="C83" s="19"/>
      <c r="D83" s="19"/>
      <c r="E83" s="37"/>
      <c r="F83" s="38"/>
      <c r="G83" s="39" t="str">
        <f aca="false">IF(OR(E83="",F83=""),"",E83*100-F83)</f>
        <v/>
      </c>
      <c r="H83" s="22"/>
      <c r="I83" s="12" t="str">
        <f aca="false">IF(OR(H83="",F83="",N(F83)=0),"",H83/(F83/100))</f>
        <v/>
      </c>
      <c r="J83" s="40" t="str">
        <f aca="false">IF(G83="","",IF(AND(G83&gt;=$B$5,F83&gt;=5,F83&lt;=95),"YES","NO"))</f>
        <v/>
      </c>
      <c r="K83" s="19"/>
      <c r="L83" s="19"/>
      <c r="M83" s="18"/>
      <c r="N83" s="10" t="str">
        <f aca="false">IF(L83="Won",I83-H83,IF(L83="Lost",-H83,""))</f>
        <v/>
      </c>
      <c r="O83" s="19"/>
    </row>
    <row r="84" customFormat="false" ht="15" hidden="false" customHeight="false" outlineLevel="0" collapsed="false">
      <c r="A84" s="18"/>
      <c r="B84" s="19"/>
      <c r="C84" s="19"/>
      <c r="D84" s="19"/>
      <c r="E84" s="37"/>
      <c r="F84" s="38"/>
      <c r="G84" s="39" t="str">
        <f aca="false">IF(OR(E84="",F84=""),"",E84*100-F84)</f>
        <v/>
      </c>
      <c r="H84" s="22"/>
      <c r="I84" s="12" t="str">
        <f aca="false">IF(OR(H84="",F84="",N(F84)=0),"",H84/(F84/100))</f>
        <v/>
      </c>
      <c r="J84" s="40" t="str">
        <f aca="false">IF(G84="","",IF(AND(G84&gt;=$B$5,F84&gt;=5,F84&lt;=95),"YES","NO"))</f>
        <v/>
      </c>
      <c r="K84" s="19"/>
      <c r="L84" s="19"/>
      <c r="M84" s="18"/>
      <c r="N84" s="10" t="str">
        <f aca="false">IF(L84="Won",I84-H84,IF(L84="Lost",-H84,""))</f>
        <v/>
      </c>
      <c r="O84" s="19"/>
    </row>
    <row r="85" customFormat="false" ht="15" hidden="false" customHeight="false" outlineLevel="0" collapsed="false">
      <c r="A85" s="18"/>
      <c r="B85" s="19"/>
      <c r="C85" s="19"/>
      <c r="D85" s="19"/>
      <c r="E85" s="37"/>
      <c r="F85" s="38"/>
      <c r="G85" s="39" t="str">
        <f aca="false">IF(OR(E85="",F85=""),"",E85*100-F85)</f>
        <v/>
      </c>
      <c r="H85" s="22"/>
      <c r="I85" s="12" t="str">
        <f aca="false">IF(OR(H85="",F85="",N(F85)=0),"",H85/(F85/100))</f>
        <v/>
      </c>
      <c r="J85" s="40" t="str">
        <f aca="false">IF(G85="","",IF(AND(G85&gt;=$B$5,F85&gt;=5,F85&lt;=95),"YES","NO"))</f>
        <v/>
      </c>
      <c r="K85" s="19"/>
      <c r="L85" s="19"/>
      <c r="M85" s="18"/>
      <c r="N85" s="10" t="str">
        <f aca="false">IF(L85="Won",I85-H85,IF(L85="Lost",-H85,""))</f>
        <v/>
      </c>
      <c r="O85" s="19"/>
    </row>
    <row r="86" customFormat="false" ht="15" hidden="false" customHeight="false" outlineLevel="0" collapsed="false">
      <c r="A86" s="18"/>
      <c r="B86" s="19"/>
      <c r="C86" s="19"/>
      <c r="D86" s="19"/>
      <c r="E86" s="37"/>
      <c r="F86" s="38"/>
      <c r="G86" s="39" t="str">
        <f aca="false">IF(OR(E86="",F86=""),"",E86*100-F86)</f>
        <v/>
      </c>
      <c r="H86" s="22"/>
      <c r="I86" s="12" t="str">
        <f aca="false">IF(OR(H86="",F86="",N(F86)=0),"",H86/(F86/100))</f>
        <v/>
      </c>
      <c r="J86" s="40" t="str">
        <f aca="false">IF(G86="","",IF(AND(G86&gt;=$B$5,F86&gt;=5,F86&lt;=95),"YES","NO"))</f>
        <v/>
      </c>
      <c r="K86" s="19"/>
      <c r="L86" s="19"/>
      <c r="M86" s="18"/>
      <c r="N86" s="10" t="str">
        <f aca="false">IF(L86="Won",I86-H86,IF(L86="Lost",-H86,""))</f>
        <v/>
      </c>
      <c r="O86" s="19"/>
    </row>
    <row r="87" customFormat="false" ht="15" hidden="false" customHeight="false" outlineLevel="0" collapsed="false">
      <c r="A87" s="18"/>
      <c r="B87" s="19"/>
      <c r="C87" s="19"/>
      <c r="D87" s="19"/>
      <c r="E87" s="37"/>
      <c r="F87" s="38"/>
      <c r="G87" s="39" t="str">
        <f aca="false">IF(OR(E87="",F87=""),"",E87*100-F87)</f>
        <v/>
      </c>
      <c r="H87" s="22"/>
      <c r="I87" s="12" t="str">
        <f aca="false">IF(OR(H87="",F87="",N(F87)=0),"",H87/(F87/100))</f>
        <v/>
      </c>
      <c r="J87" s="40" t="str">
        <f aca="false">IF(G87="","",IF(AND(G87&gt;=$B$5,F87&gt;=5,F87&lt;=95),"YES","NO"))</f>
        <v/>
      </c>
      <c r="K87" s="19"/>
      <c r="L87" s="19"/>
      <c r="M87" s="18"/>
      <c r="N87" s="10" t="str">
        <f aca="false">IF(L87="Won",I87-H87,IF(L87="Lost",-H87,""))</f>
        <v/>
      </c>
      <c r="O87" s="19"/>
    </row>
    <row r="88" customFormat="false" ht="15" hidden="false" customHeight="false" outlineLevel="0" collapsed="false">
      <c r="A88" s="18"/>
      <c r="B88" s="19"/>
      <c r="C88" s="19"/>
      <c r="D88" s="19"/>
      <c r="E88" s="37"/>
      <c r="F88" s="38"/>
      <c r="G88" s="39" t="str">
        <f aca="false">IF(OR(E88="",F88=""),"",E88*100-F88)</f>
        <v/>
      </c>
      <c r="H88" s="22"/>
      <c r="I88" s="12" t="str">
        <f aca="false">IF(OR(H88="",F88="",N(F88)=0),"",H88/(F88/100))</f>
        <v/>
      </c>
      <c r="J88" s="40" t="str">
        <f aca="false">IF(G88="","",IF(AND(G88&gt;=$B$5,F88&gt;=5,F88&lt;=95),"YES","NO"))</f>
        <v/>
      </c>
      <c r="K88" s="19"/>
      <c r="L88" s="19"/>
      <c r="M88" s="18"/>
      <c r="N88" s="10" t="str">
        <f aca="false">IF(L88="Won",I88-H88,IF(L88="Lost",-H88,""))</f>
        <v/>
      </c>
      <c r="O88" s="19"/>
    </row>
    <row r="89" customFormat="false" ht="15" hidden="false" customHeight="false" outlineLevel="0" collapsed="false">
      <c r="A89" s="18"/>
      <c r="B89" s="19"/>
      <c r="C89" s="19"/>
      <c r="D89" s="19"/>
      <c r="E89" s="37"/>
      <c r="F89" s="38"/>
      <c r="G89" s="39" t="str">
        <f aca="false">IF(OR(E89="",F89=""),"",E89*100-F89)</f>
        <v/>
      </c>
      <c r="H89" s="22"/>
      <c r="I89" s="12" t="str">
        <f aca="false">IF(OR(H89="",F89="",N(F89)=0),"",H89/(F89/100))</f>
        <v/>
      </c>
      <c r="J89" s="40" t="str">
        <f aca="false">IF(G89="","",IF(AND(G89&gt;=$B$5,F89&gt;=5,F89&lt;=95),"YES","NO"))</f>
        <v/>
      </c>
      <c r="K89" s="19"/>
      <c r="L89" s="19"/>
      <c r="M89" s="18"/>
      <c r="N89" s="10" t="str">
        <f aca="false">IF(L89="Won",I89-H89,IF(L89="Lost",-H89,""))</f>
        <v/>
      </c>
      <c r="O89" s="19"/>
    </row>
    <row r="90" customFormat="false" ht="15" hidden="false" customHeight="false" outlineLevel="0" collapsed="false">
      <c r="A90" s="18"/>
      <c r="B90" s="19"/>
      <c r="C90" s="19"/>
      <c r="D90" s="19"/>
      <c r="E90" s="37"/>
      <c r="F90" s="38"/>
      <c r="G90" s="39" t="str">
        <f aca="false">IF(OR(E90="",F90=""),"",E90*100-F90)</f>
        <v/>
      </c>
      <c r="H90" s="22"/>
      <c r="I90" s="12" t="str">
        <f aca="false">IF(OR(H90="",F90="",N(F90)=0),"",H90/(F90/100))</f>
        <v/>
      </c>
      <c r="J90" s="40" t="str">
        <f aca="false">IF(G90="","",IF(AND(G90&gt;=$B$5,F90&gt;=5,F90&lt;=95),"YES","NO"))</f>
        <v/>
      </c>
      <c r="K90" s="19"/>
      <c r="L90" s="19"/>
      <c r="M90" s="18"/>
      <c r="N90" s="10" t="str">
        <f aca="false">IF(L90="Won",I90-H90,IF(L90="Lost",-H90,""))</f>
        <v/>
      </c>
      <c r="O90" s="19"/>
    </row>
    <row r="91" customFormat="false" ht="15" hidden="false" customHeight="false" outlineLevel="0" collapsed="false">
      <c r="A91" s="18"/>
      <c r="B91" s="19"/>
      <c r="C91" s="19"/>
      <c r="D91" s="19"/>
      <c r="E91" s="37"/>
      <c r="F91" s="38"/>
      <c r="G91" s="39" t="str">
        <f aca="false">IF(OR(E91="",F91=""),"",E91*100-F91)</f>
        <v/>
      </c>
      <c r="H91" s="22"/>
      <c r="I91" s="12" t="str">
        <f aca="false">IF(OR(H91="",F91="",N(F91)=0),"",H91/(F91/100))</f>
        <v/>
      </c>
      <c r="J91" s="40" t="str">
        <f aca="false">IF(G91="","",IF(AND(G91&gt;=$B$5,F91&gt;=5,F91&lt;=95),"YES","NO"))</f>
        <v/>
      </c>
      <c r="K91" s="19"/>
      <c r="L91" s="19"/>
      <c r="M91" s="18"/>
      <c r="N91" s="10" t="str">
        <f aca="false">IF(L91="Won",I91-H91,IF(L91="Lost",-H91,""))</f>
        <v/>
      </c>
      <c r="O91" s="19"/>
    </row>
    <row r="92" customFormat="false" ht="15" hidden="false" customHeight="false" outlineLevel="0" collapsed="false">
      <c r="A92" s="18"/>
      <c r="B92" s="19"/>
      <c r="C92" s="19"/>
      <c r="D92" s="19"/>
      <c r="E92" s="37"/>
      <c r="F92" s="38"/>
      <c r="G92" s="39" t="str">
        <f aca="false">IF(OR(E92="",F92=""),"",E92*100-F92)</f>
        <v/>
      </c>
      <c r="H92" s="22"/>
      <c r="I92" s="12" t="str">
        <f aca="false">IF(OR(H92="",F92="",N(F92)=0),"",H92/(F92/100))</f>
        <v/>
      </c>
      <c r="J92" s="40" t="str">
        <f aca="false">IF(G92="","",IF(AND(G92&gt;=$B$5,F92&gt;=5,F92&lt;=95),"YES","NO"))</f>
        <v/>
      </c>
      <c r="K92" s="19"/>
      <c r="L92" s="19"/>
      <c r="M92" s="18"/>
      <c r="N92" s="10" t="str">
        <f aca="false">IF(L92="Won",I92-H92,IF(L92="Lost",-H92,""))</f>
        <v/>
      </c>
      <c r="O92" s="19"/>
    </row>
    <row r="93" customFormat="false" ht="15" hidden="false" customHeight="false" outlineLevel="0" collapsed="false">
      <c r="A93" s="18"/>
      <c r="B93" s="19"/>
      <c r="C93" s="19"/>
      <c r="D93" s="19"/>
      <c r="E93" s="37"/>
      <c r="F93" s="38"/>
      <c r="G93" s="39" t="str">
        <f aca="false">IF(OR(E93="",F93=""),"",E93*100-F93)</f>
        <v/>
      </c>
      <c r="H93" s="22"/>
      <c r="I93" s="12" t="str">
        <f aca="false">IF(OR(H93="",F93="",N(F93)=0),"",H93/(F93/100))</f>
        <v/>
      </c>
      <c r="J93" s="40" t="str">
        <f aca="false">IF(G93="","",IF(AND(G93&gt;=$B$5,F93&gt;=5,F93&lt;=95),"YES","NO"))</f>
        <v/>
      </c>
      <c r="K93" s="19"/>
      <c r="L93" s="19"/>
      <c r="M93" s="18"/>
      <c r="N93" s="10" t="str">
        <f aca="false">IF(L93="Won",I93-H93,IF(L93="Lost",-H93,""))</f>
        <v/>
      </c>
      <c r="O93" s="19"/>
    </row>
    <row r="94" customFormat="false" ht="15" hidden="false" customHeight="false" outlineLevel="0" collapsed="false">
      <c r="A94" s="18"/>
      <c r="B94" s="19"/>
      <c r="C94" s="19"/>
      <c r="D94" s="19"/>
      <c r="E94" s="37"/>
      <c r="F94" s="38"/>
      <c r="G94" s="39" t="str">
        <f aca="false">IF(OR(E94="",F94=""),"",E94*100-F94)</f>
        <v/>
      </c>
      <c r="H94" s="22"/>
      <c r="I94" s="12" t="str">
        <f aca="false">IF(OR(H94="",F94="",N(F94)=0),"",H94/(F94/100))</f>
        <v/>
      </c>
      <c r="J94" s="40" t="str">
        <f aca="false">IF(G94="","",IF(AND(G94&gt;=$B$5,F94&gt;=5,F94&lt;=95),"YES","NO"))</f>
        <v/>
      </c>
      <c r="K94" s="19"/>
      <c r="L94" s="19"/>
      <c r="M94" s="18"/>
      <c r="N94" s="10" t="str">
        <f aca="false">IF(L94="Won",I94-H94,IF(L94="Lost",-H94,""))</f>
        <v/>
      </c>
      <c r="O94" s="19"/>
    </row>
    <row r="95" customFormat="false" ht="15" hidden="false" customHeight="false" outlineLevel="0" collapsed="false">
      <c r="A95" s="18"/>
      <c r="B95" s="19"/>
      <c r="C95" s="19"/>
      <c r="D95" s="19"/>
      <c r="E95" s="37"/>
      <c r="F95" s="38"/>
      <c r="G95" s="39" t="str">
        <f aca="false">IF(OR(E95="",F95=""),"",E95*100-F95)</f>
        <v/>
      </c>
      <c r="H95" s="22"/>
      <c r="I95" s="12" t="str">
        <f aca="false">IF(OR(H95="",F95="",N(F95)=0),"",H95/(F95/100))</f>
        <v/>
      </c>
      <c r="J95" s="40" t="str">
        <f aca="false">IF(G95="","",IF(AND(G95&gt;=$B$5,F95&gt;=5,F95&lt;=95),"YES","NO"))</f>
        <v/>
      </c>
      <c r="K95" s="19"/>
      <c r="L95" s="19"/>
      <c r="M95" s="18"/>
      <c r="N95" s="10" t="str">
        <f aca="false">IF(L95="Won",I95-H95,IF(L95="Lost",-H95,""))</f>
        <v/>
      </c>
      <c r="O95" s="19"/>
    </row>
    <row r="96" customFormat="false" ht="15" hidden="false" customHeight="false" outlineLevel="0" collapsed="false">
      <c r="A96" s="18"/>
      <c r="B96" s="19"/>
      <c r="C96" s="19"/>
      <c r="D96" s="19"/>
      <c r="E96" s="37"/>
      <c r="F96" s="38"/>
      <c r="G96" s="39" t="str">
        <f aca="false">IF(OR(E96="",F96=""),"",E96*100-F96)</f>
        <v/>
      </c>
      <c r="H96" s="22"/>
      <c r="I96" s="12" t="str">
        <f aca="false">IF(OR(H96="",F96="",N(F96)=0),"",H96/(F96/100))</f>
        <v/>
      </c>
      <c r="J96" s="40" t="str">
        <f aca="false">IF(G96="","",IF(AND(G96&gt;=$B$5,F96&gt;=5,F96&lt;=95),"YES","NO"))</f>
        <v/>
      </c>
      <c r="K96" s="19"/>
      <c r="L96" s="19"/>
      <c r="M96" s="18"/>
      <c r="N96" s="10" t="str">
        <f aca="false">IF(L96="Won",I96-H96,IF(L96="Lost",-H96,""))</f>
        <v/>
      </c>
      <c r="O96" s="19"/>
    </row>
    <row r="97" customFormat="false" ht="15" hidden="false" customHeight="false" outlineLevel="0" collapsed="false">
      <c r="A97" s="18"/>
      <c r="B97" s="19"/>
      <c r="C97" s="19"/>
      <c r="D97" s="19"/>
      <c r="E97" s="37"/>
      <c r="F97" s="38"/>
      <c r="G97" s="39" t="str">
        <f aca="false">IF(OR(E97="",F97=""),"",E97*100-F97)</f>
        <v/>
      </c>
      <c r="H97" s="22"/>
      <c r="I97" s="12" t="str">
        <f aca="false">IF(OR(H97="",F97="",N(F97)=0),"",H97/(F97/100))</f>
        <v/>
      </c>
      <c r="J97" s="40" t="str">
        <f aca="false">IF(G97="","",IF(AND(G97&gt;=$B$5,F97&gt;=5,F97&lt;=95),"YES","NO"))</f>
        <v/>
      </c>
      <c r="K97" s="19"/>
      <c r="L97" s="19"/>
      <c r="M97" s="18"/>
      <c r="N97" s="10" t="str">
        <f aca="false">IF(L97="Won",I97-H97,IF(L97="Lost",-H97,""))</f>
        <v/>
      </c>
      <c r="O97" s="19"/>
    </row>
    <row r="98" customFormat="false" ht="15" hidden="false" customHeight="false" outlineLevel="0" collapsed="false">
      <c r="A98" s="18"/>
      <c r="B98" s="19"/>
      <c r="C98" s="19"/>
      <c r="D98" s="19"/>
      <c r="E98" s="37"/>
      <c r="F98" s="38"/>
      <c r="G98" s="39" t="str">
        <f aca="false">IF(OR(E98="",F98=""),"",E98*100-F98)</f>
        <v/>
      </c>
      <c r="H98" s="22"/>
      <c r="I98" s="12" t="str">
        <f aca="false">IF(OR(H98="",F98="",N(F98)=0),"",H98/(F98/100))</f>
        <v/>
      </c>
      <c r="J98" s="40" t="str">
        <f aca="false">IF(G98="","",IF(AND(G98&gt;=$B$5,F98&gt;=5,F98&lt;=95),"YES","NO"))</f>
        <v/>
      </c>
      <c r="K98" s="19"/>
      <c r="L98" s="19"/>
      <c r="M98" s="18"/>
      <c r="N98" s="10" t="str">
        <f aca="false">IF(L98="Won",I98-H98,IF(L98="Lost",-H98,""))</f>
        <v/>
      </c>
      <c r="O98" s="19"/>
    </row>
    <row r="99" customFormat="false" ht="15" hidden="false" customHeight="false" outlineLevel="0" collapsed="false">
      <c r="A99" s="18"/>
      <c r="B99" s="19"/>
      <c r="C99" s="19"/>
      <c r="D99" s="19"/>
      <c r="E99" s="37"/>
      <c r="F99" s="38"/>
      <c r="G99" s="39" t="str">
        <f aca="false">IF(OR(E99="",F99=""),"",E99*100-F99)</f>
        <v/>
      </c>
      <c r="H99" s="22"/>
      <c r="I99" s="12" t="str">
        <f aca="false">IF(OR(H99="",F99="",N(F99)=0),"",H99/(F99/100))</f>
        <v/>
      </c>
      <c r="J99" s="40" t="str">
        <f aca="false">IF(G99="","",IF(AND(G99&gt;=$B$5,F99&gt;=5,F99&lt;=95),"YES","NO"))</f>
        <v/>
      </c>
      <c r="K99" s="19"/>
      <c r="L99" s="19"/>
      <c r="M99" s="18"/>
      <c r="N99" s="10" t="str">
        <f aca="false">IF(L99="Won",I99-H99,IF(L99="Lost",-H99,""))</f>
        <v/>
      </c>
      <c r="O99" s="19"/>
    </row>
    <row r="100" customFormat="false" ht="15" hidden="false" customHeight="false" outlineLevel="0" collapsed="false">
      <c r="A100" s="18"/>
      <c r="B100" s="19"/>
      <c r="C100" s="19"/>
      <c r="D100" s="19"/>
      <c r="E100" s="37"/>
      <c r="F100" s="38"/>
      <c r="G100" s="39" t="str">
        <f aca="false">IF(OR(E100="",F100=""),"",E100*100-F100)</f>
        <v/>
      </c>
      <c r="H100" s="22"/>
      <c r="I100" s="12" t="str">
        <f aca="false">IF(OR(H100="",F100="",N(F100)=0),"",H100/(F100/100))</f>
        <v/>
      </c>
      <c r="J100" s="40" t="str">
        <f aca="false">IF(G100="","",IF(AND(G100&gt;=$B$5,F100&gt;=5,F100&lt;=95),"YES","NO"))</f>
        <v/>
      </c>
      <c r="K100" s="19"/>
      <c r="L100" s="19"/>
      <c r="M100" s="18"/>
      <c r="N100" s="10" t="str">
        <f aca="false">IF(L100="Won",I100-H100,IF(L100="Lost",-H100,""))</f>
        <v/>
      </c>
      <c r="O100" s="19"/>
    </row>
    <row r="101" customFormat="false" ht="15" hidden="false" customHeight="false" outlineLevel="0" collapsed="false">
      <c r="A101" s="18"/>
      <c r="B101" s="19"/>
      <c r="C101" s="19"/>
      <c r="D101" s="19"/>
      <c r="E101" s="37"/>
      <c r="F101" s="38"/>
      <c r="G101" s="39" t="str">
        <f aca="false">IF(OR(E101="",F101=""),"",E101*100-F101)</f>
        <v/>
      </c>
      <c r="H101" s="22"/>
      <c r="I101" s="12" t="str">
        <f aca="false">IF(OR(H101="",F101="",N(F101)=0),"",H101/(F101/100))</f>
        <v/>
      </c>
      <c r="J101" s="40" t="str">
        <f aca="false">IF(G101="","",IF(AND(G101&gt;=$B$5,F101&gt;=5,F101&lt;=95),"YES","NO"))</f>
        <v/>
      </c>
      <c r="K101" s="19"/>
      <c r="L101" s="19"/>
      <c r="M101" s="18"/>
      <c r="N101" s="10" t="str">
        <f aca="false">IF(L101="Won",I101-H101,IF(L101="Lost",-H101,""))</f>
        <v/>
      </c>
      <c r="O101" s="19"/>
    </row>
    <row r="102" customFormat="false" ht="15" hidden="false" customHeight="false" outlineLevel="0" collapsed="false">
      <c r="A102" s="18"/>
      <c r="B102" s="19"/>
      <c r="C102" s="19"/>
      <c r="D102" s="19"/>
      <c r="E102" s="37"/>
      <c r="F102" s="38"/>
      <c r="G102" s="39" t="str">
        <f aca="false">IF(OR(E102="",F102=""),"",E102*100-F102)</f>
        <v/>
      </c>
      <c r="H102" s="22"/>
      <c r="I102" s="12" t="str">
        <f aca="false">IF(OR(H102="",F102="",N(F102)=0),"",H102/(F102/100))</f>
        <v/>
      </c>
      <c r="J102" s="40" t="str">
        <f aca="false">IF(G102="","",IF(AND(G102&gt;=$B$5,F102&gt;=5,F102&lt;=95),"YES","NO"))</f>
        <v/>
      </c>
      <c r="K102" s="19"/>
      <c r="L102" s="19"/>
      <c r="M102" s="18"/>
      <c r="N102" s="10" t="str">
        <f aca="false">IF(L102="Won",I102-H102,IF(L102="Lost",-H102,""))</f>
        <v/>
      </c>
      <c r="O102" s="19"/>
    </row>
    <row r="103" customFormat="false" ht="15" hidden="false" customHeight="false" outlineLevel="0" collapsed="false">
      <c r="A103" s="18"/>
      <c r="B103" s="19"/>
      <c r="C103" s="19"/>
      <c r="D103" s="19"/>
      <c r="E103" s="37"/>
      <c r="F103" s="38"/>
      <c r="G103" s="39" t="str">
        <f aca="false">IF(OR(E103="",F103=""),"",E103*100-F103)</f>
        <v/>
      </c>
      <c r="H103" s="22"/>
      <c r="I103" s="12" t="str">
        <f aca="false">IF(OR(H103="",F103="",N(F103)=0),"",H103/(F103/100))</f>
        <v/>
      </c>
      <c r="J103" s="40" t="str">
        <f aca="false">IF(G103="","",IF(AND(G103&gt;=$B$5,F103&gt;=5,F103&lt;=95),"YES","NO"))</f>
        <v/>
      </c>
      <c r="K103" s="19"/>
      <c r="L103" s="19"/>
      <c r="M103" s="18"/>
      <c r="N103" s="10" t="str">
        <f aca="false">IF(L103="Won",I103-H103,IF(L103="Lost",-H103,""))</f>
        <v/>
      </c>
      <c r="O103" s="19"/>
    </row>
    <row r="104" customFormat="false" ht="15" hidden="false" customHeight="false" outlineLevel="0" collapsed="false">
      <c r="A104" s="18"/>
      <c r="B104" s="19"/>
      <c r="C104" s="19"/>
      <c r="D104" s="19"/>
      <c r="E104" s="37"/>
      <c r="F104" s="38"/>
      <c r="G104" s="39" t="str">
        <f aca="false">IF(OR(E104="",F104=""),"",E104*100-F104)</f>
        <v/>
      </c>
      <c r="H104" s="22"/>
      <c r="I104" s="12" t="str">
        <f aca="false">IF(OR(H104="",F104="",N(F104)=0),"",H104/(F104/100))</f>
        <v/>
      </c>
      <c r="J104" s="40" t="str">
        <f aca="false">IF(G104="","",IF(AND(G104&gt;=$B$5,F104&gt;=5,F104&lt;=95),"YES","NO"))</f>
        <v/>
      </c>
      <c r="K104" s="19"/>
      <c r="L104" s="19"/>
      <c r="M104" s="18"/>
      <c r="N104" s="10" t="str">
        <f aca="false">IF(L104="Won",I104-H104,IF(L104="Lost",-H104,""))</f>
        <v/>
      </c>
      <c r="O104" s="19"/>
    </row>
    <row r="105" customFormat="false" ht="15" hidden="false" customHeight="false" outlineLevel="0" collapsed="false">
      <c r="A105" s="18"/>
      <c r="B105" s="19"/>
      <c r="C105" s="19"/>
      <c r="D105" s="19"/>
      <c r="E105" s="37"/>
      <c r="F105" s="38"/>
      <c r="G105" s="39" t="str">
        <f aca="false">IF(OR(E105="",F105=""),"",E105*100-F105)</f>
        <v/>
      </c>
      <c r="H105" s="22"/>
      <c r="I105" s="12" t="str">
        <f aca="false">IF(OR(H105="",F105="",N(F105)=0),"",H105/(F105/100))</f>
        <v/>
      </c>
      <c r="J105" s="40" t="str">
        <f aca="false">IF(G105="","",IF(AND(G105&gt;=$B$5,F105&gt;=5,F105&lt;=95),"YES","NO"))</f>
        <v/>
      </c>
      <c r="K105" s="19"/>
      <c r="L105" s="19"/>
      <c r="M105" s="18"/>
      <c r="N105" s="10" t="str">
        <f aca="false">IF(L105="Won",I105-H105,IF(L105="Lost",-H105,""))</f>
        <v/>
      </c>
      <c r="O105" s="19"/>
    </row>
    <row r="106" customFormat="false" ht="15" hidden="false" customHeight="false" outlineLevel="0" collapsed="false">
      <c r="A106" s="18"/>
      <c r="B106" s="19"/>
      <c r="C106" s="19"/>
      <c r="D106" s="19"/>
      <c r="E106" s="37"/>
      <c r="F106" s="38"/>
      <c r="G106" s="39" t="str">
        <f aca="false">IF(OR(E106="",F106=""),"",E106*100-F106)</f>
        <v/>
      </c>
      <c r="H106" s="22"/>
      <c r="I106" s="12" t="str">
        <f aca="false">IF(OR(H106="",F106="",N(F106)=0),"",H106/(F106/100))</f>
        <v/>
      </c>
      <c r="J106" s="40" t="str">
        <f aca="false">IF(G106="","",IF(AND(G106&gt;=$B$5,F106&gt;=5,F106&lt;=95),"YES","NO"))</f>
        <v/>
      </c>
      <c r="K106" s="19"/>
      <c r="L106" s="19"/>
      <c r="M106" s="18"/>
      <c r="N106" s="10" t="str">
        <f aca="false">IF(L106="Won",I106-H106,IF(L106="Lost",-H106,""))</f>
        <v/>
      </c>
      <c r="O106" s="19"/>
    </row>
    <row r="107" customFormat="false" ht="15" hidden="false" customHeight="false" outlineLevel="0" collapsed="false">
      <c r="A107" s="18"/>
      <c r="B107" s="19"/>
      <c r="C107" s="19"/>
      <c r="D107" s="19"/>
      <c r="E107" s="37"/>
      <c r="F107" s="38"/>
      <c r="G107" s="39" t="str">
        <f aca="false">IF(OR(E107="",F107=""),"",E107*100-F107)</f>
        <v/>
      </c>
      <c r="H107" s="22"/>
      <c r="I107" s="12" t="str">
        <f aca="false">IF(OR(H107="",F107="",N(F107)=0),"",H107/(F107/100))</f>
        <v/>
      </c>
      <c r="J107" s="40" t="str">
        <f aca="false">IF(G107="","",IF(AND(G107&gt;=$B$5,F107&gt;=5,F107&lt;=95),"YES","NO"))</f>
        <v/>
      </c>
      <c r="K107" s="19"/>
      <c r="L107" s="19"/>
      <c r="M107" s="18"/>
      <c r="N107" s="10" t="str">
        <f aca="false">IF(L107="Won",I107-H107,IF(L107="Lost",-H107,""))</f>
        <v/>
      </c>
      <c r="O107" s="19"/>
    </row>
    <row r="108" customFormat="false" ht="15" hidden="false" customHeight="false" outlineLevel="0" collapsed="false">
      <c r="A108" s="18"/>
      <c r="B108" s="19"/>
      <c r="C108" s="19"/>
      <c r="D108" s="19"/>
      <c r="E108" s="37"/>
      <c r="F108" s="38"/>
      <c r="G108" s="39" t="str">
        <f aca="false">IF(OR(E108="",F108=""),"",E108*100-F108)</f>
        <v/>
      </c>
      <c r="H108" s="22"/>
      <c r="I108" s="12" t="str">
        <f aca="false">IF(OR(H108="",F108="",N(F108)=0),"",H108/(F108/100))</f>
        <v/>
      </c>
      <c r="J108" s="40" t="str">
        <f aca="false">IF(G108="","",IF(AND(G108&gt;=$B$5,F108&gt;=5,F108&lt;=95),"YES","NO"))</f>
        <v/>
      </c>
      <c r="K108" s="19"/>
      <c r="L108" s="19"/>
      <c r="M108" s="18"/>
      <c r="N108" s="10" t="str">
        <f aca="false">IF(L108="Won",I108-H108,IF(L108="Lost",-H108,""))</f>
        <v/>
      </c>
      <c r="O108" s="19"/>
    </row>
    <row r="109" customFormat="false" ht="15" hidden="false" customHeight="false" outlineLevel="0" collapsed="false">
      <c r="A109" s="18"/>
      <c r="B109" s="19"/>
      <c r="C109" s="19"/>
      <c r="D109" s="19"/>
      <c r="E109" s="37"/>
      <c r="F109" s="38"/>
      <c r="G109" s="39" t="str">
        <f aca="false">IF(OR(E109="",F109=""),"",E109*100-F109)</f>
        <v/>
      </c>
      <c r="H109" s="22"/>
      <c r="I109" s="12" t="str">
        <f aca="false">IF(OR(H109="",F109="",N(F109)=0),"",H109/(F109/100))</f>
        <v/>
      </c>
      <c r="J109" s="40" t="str">
        <f aca="false">IF(G109="","",IF(AND(G109&gt;=$B$5,F109&gt;=5,F109&lt;=95),"YES","NO"))</f>
        <v/>
      </c>
      <c r="K109" s="19"/>
      <c r="L109" s="19"/>
      <c r="M109" s="18"/>
      <c r="N109" s="10" t="str">
        <f aca="false">IF(L109="Won",I109-H109,IF(L109="Lost",-H109,""))</f>
        <v/>
      </c>
      <c r="O109" s="19"/>
    </row>
    <row r="110" customFormat="false" ht="15" hidden="false" customHeight="false" outlineLevel="0" collapsed="false">
      <c r="A110" s="18"/>
      <c r="B110" s="19"/>
      <c r="C110" s="19"/>
      <c r="D110" s="19"/>
      <c r="E110" s="37"/>
      <c r="F110" s="38"/>
      <c r="G110" s="39" t="str">
        <f aca="false">IF(OR(E110="",F110=""),"",E110*100-F110)</f>
        <v/>
      </c>
      <c r="H110" s="22"/>
      <c r="I110" s="12" t="str">
        <f aca="false">IF(OR(H110="",F110="",N(F110)=0),"",H110/(F110/100))</f>
        <v/>
      </c>
      <c r="J110" s="40" t="str">
        <f aca="false">IF(G110="","",IF(AND(G110&gt;=$B$5,F110&gt;=5,F110&lt;=95),"YES","NO"))</f>
        <v/>
      </c>
      <c r="K110" s="19"/>
      <c r="L110" s="19"/>
      <c r="M110" s="18"/>
      <c r="N110" s="10" t="str">
        <f aca="false">IF(L110="Won",I110-H110,IF(L110="Lost",-H110,""))</f>
        <v/>
      </c>
      <c r="O110" s="19"/>
    </row>
    <row r="111" customFormat="false" ht="15" hidden="false" customHeight="false" outlineLevel="0" collapsed="false">
      <c r="A111" s="18"/>
      <c r="B111" s="19"/>
      <c r="C111" s="19"/>
      <c r="D111" s="19"/>
      <c r="E111" s="37"/>
      <c r="F111" s="38"/>
      <c r="G111" s="39" t="str">
        <f aca="false">IF(OR(E111="",F111=""),"",E111*100-F111)</f>
        <v/>
      </c>
      <c r="H111" s="22"/>
      <c r="I111" s="12" t="str">
        <f aca="false">IF(OR(H111="",F111="",N(F111)=0),"",H111/(F111/100))</f>
        <v/>
      </c>
      <c r="J111" s="40" t="str">
        <f aca="false">IF(G111="","",IF(AND(G111&gt;=$B$5,F111&gt;=5,F111&lt;=95),"YES","NO"))</f>
        <v/>
      </c>
      <c r="K111" s="19"/>
      <c r="L111" s="19"/>
      <c r="M111" s="18"/>
      <c r="N111" s="10" t="str">
        <f aca="false">IF(L111="Won",I111-H111,IF(L111="Lost",-H111,""))</f>
        <v/>
      </c>
      <c r="O111" s="19"/>
    </row>
    <row r="112" customFormat="false" ht="15" hidden="false" customHeight="false" outlineLevel="0" collapsed="false">
      <c r="A112" s="18"/>
      <c r="B112" s="19"/>
      <c r="C112" s="19"/>
      <c r="D112" s="19"/>
      <c r="E112" s="37"/>
      <c r="F112" s="38"/>
      <c r="G112" s="39" t="str">
        <f aca="false">IF(OR(E112="",F112=""),"",E112*100-F112)</f>
        <v/>
      </c>
      <c r="H112" s="22"/>
      <c r="I112" s="12" t="str">
        <f aca="false">IF(OR(H112="",F112="",N(F112)=0),"",H112/(F112/100))</f>
        <v/>
      </c>
      <c r="J112" s="40" t="str">
        <f aca="false">IF(G112="","",IF(AND(G112&gt;=$B$5,F112&gt;=5,F112&lt;=95),"YES","NO"))</f>
        <v/>
      </c>
      <c r="K112" s="19"/>
      <c r="L112" s="19"/>
      <c r="M112" s="18"/>
      <c r="N112" s="10" t="str">
        <f aca="false">IF(L112="Won",I112-H112,IF(L112="Lost",-H112,""))</f>
        <v/>
      </c>
      <c r="O112" s="19"/>
    </row>
    <row r="113" customFormat="false" ht="15" hidden="false" customHeight="false" outlineLevel="0" collapsed="false">
      <c r="A113" s="18"/>
      <c r="B113" s="19"/>
      <c r="C113" s="19"/>
      <c r="D113" s="19"/>
      <c r="E113" s="37"/>
      <c r="F113" s="38"/>
      <c r="G113" s="39" t="str">
        <f aca="false">IF(OR(E113="",F113=""),"",E113*100-F113)</f>
        <v/>
      </c>
      <c r="H113" s="22"/>
      <c r="I113" s="12" t="str">
        <f aca="false">IF(OR(H113="",F113="",N(F113)=0),"",H113/(F113/100))</f>
        <v/>
      </c>
      <c r="J113" s="40" t="str">
        <f aca="false">IF(G113="","",IF(AND(G113&gt;=$B$5,F113&gt;=5,F113&lt;=95),"YES","NO"))</f>
        <v/>
      </c>
      <c r="K113" s="19"/>
      <c r="L113" s="19"/>
      <c r="M113" s="18"/>
      <c r="N113" s="10" t="str">
        <f aca="false">IF(L113="Won",I113-H113,IF(L113="Lost",-H113,""))</f>
        <v/>
      </c>
      <c r="O113" s="19"/>
    </row>
    <row r="114" customFormat="false" ht="15" hidden="false" customHeight="false" outlineLevel="0" collapsed="false">
      <c r="A114" s="18"/>
      <c r="B114" s="19"/>
      <c r="C114" s="19"/>
      <c r="D114" s="19"/>
      <c r="E114" s="37"/>
      <c r="F114" s="38"/>
      <c r="G114" s="39" t="str">
        <f aca="false">IF(OR(E114="",F114=""),"",E114*100-F114)</f>
        <v/>
      </c>
      <c r="H114" s="22"/>
      <c r="I114" s="12" t="str">
        <f aca="false">IF(OR(H114="",F114="",N(F114)=0),"",H114/(F114/100))</f>
        <v/>
      </c>
      <c r="J114" s="40" t="str">
        <f aca="false">IF(G114="","",IF(AND(G114&gt;=$B$5,F114&gt;=5,F114&lt;=95),"YES","NO"))</f>
        <v/>
      </c>
      <c r="K114" s="19"/>
      <c r="L114" s="19"/>
      <c r="M114" s="18"/>
      <c r="N114" s="10" t="str">
        <f aca="false">IF(L114="Won",I114-H114,IF(L114="Lost",-H114,""))</f>
        <v/>
      </c>
      <c r="O114" s="19"/>
    </row>
    <row r="115" customFormat="false" ht="15" hidden="false" customHeight="false" outlineLevel="0" collapsed="false">
      <c r="A115" s="18"/>
      <c r="B115" s="19"/>
      <c r="C115" s="19"/>
      <c r="D115" s="19"/>
      <c r="E115" s="37"/>
      <c r="F115" s="38"/>
      <c r="G115" s="39" t="str">
        <f aca="false">IF(OR(E115="",F115=""),"",E115*100-F115)</f>
        <v/>
      </c>
      <c r="H115" s="22"/>
      <c r="I115" s="12" t="str">
        <f aca="false">IF(OR(H115="",F115="",N(F115)=0),"",H115/(F115/100))</f>
        <v/>
      </c>
      <c r="J115" s="40" t="str">
        <f aca="false">IF(G115="","",IF(AND(G115&gt;=$B$5,F115&gt;=5,F115&lt;=95),"YES","NO"))</f>
        <v/>
      </c>
      <c r="K115" s="19"/>
      <c r="L115" s="19"/>
      <c r="M115" s="18"/>
      <c r="N115" s="10" t="str">
        <f aca="false">IF(L115="Won",I115-H115,IF(L115="Lost",-H115,""))</f>
        <v/>
      </c>
      <c r="O115" s="19"/>
    </row>
    <row r="116" customFormat="false" ht="15" hidden="false" customHeight="false" outlineLevel="0" collapsed="false">
      <c r="A116" s="18"/>
      <c r="B116" s="19"/>
      <c r="C116" s="19"/>
      <c r="D116" s="19"/>
      <c r="E116" s="37"/>
      <c r="F116" s="38"/>
      <c r="G116" s="39" t="str">
        <f aca="false">IF(OR(E116="",F116=""),"",E116*100-F116)</f>
        <v/>
      </c>
      <c r="H116" s="22"/>
      <c r="I116" s="12" t="str">
        <f aca="false">IF(OR(H116="",F116="",N(F116)=0),"",H116/(F116/100))</f>
        <v/>
      </c>
      <c r="J116" s="40" t="str">
        <f aca="false">IF(G116="","",IF(AND(G116&gt;=$B$5,F116&gt;=5,F116&lt;=95),"YES","NO"))</f>
        <v/>
      </c>
      <c r="K116" s="19"/>
      <c r="L116" s="19"/>
      <c r="M116" s="18"/>
      <c r="N116" s="10" t="str">
        <f aca="false">IF(L116="Won",I116-H116,IF(L116="Lost",-H116,""))</f>
        <v/>
      </c>
      <c r="O116" s="19"/>
    </row>
    <row r="117" customFormat="false" ht="15" hidden="false" customHeight="false" outlineLevel="0" collapsed="false">
      <c r="A117" s="18"/>
      <c r="B117" s="19"/>
      <c r="C117" s="19"/>
      <c r="D117" s="19"/>
      <c r="E117" s="37"/>
      <c r="F117" s="38"/>
      <c r="G117" s="39" t="str">
        <f aca="false">IF(OR(E117="",F117=""),"",E117*100-F117)</f>
        <v/>
      </c>
      <c r="H117" s="22"/>
      <c r="I117" s="12" t="str">
        <f aca="false">IF(OR(H117="",F117="",N(F117)=0),"",H117/(F117/100))</f>
        <v/>
      </c>
      <c r="J117" s="40" t="str">
        <f aca="false">IF(G117="","",IF(AND(G117&gt;=$B$5,F117&gt;=5,F117&lt;=95),"YES","NO"))</f>
        <v/>
      </c>
      <c r="K117" s="19"/>
      <c r="L117" s="19"/>
      <c r="M117" s="18"/>
      <c r="N117" s="10" t="str">
        <f aca="false">IF(L117="Won",I117-H117,IF(L117="Lost",-H117,""))</f>
        <v/>
      </c>
      <c r="O117" s="19"/>
    </row>
    <row r="118" customFormat="false" ht="15" hidden="false" customHeight="false" outlineLevel="0" collapsed="false">
      <c r="A118" s="18"/>
      <c r="B118" s="19"/>
      <c r="C118" s="19"/>
      <c r="D118" s="19"/>
      <c r="E118" s="37"/>
      <c r="F118" s="38"/>
      <c r="G118" s="39" t="str">
        <f aca="false">IF(OR(E118="",F118=""),"",E118*100-F118)</f>
        <v/>
      </c>
      <c r="H118" s="22"/>
      <c r="I118" s="12" t="str">
        <f aca="false">IF(OR(H118="",F118="",N(F118)=0),"",H118/(F118/100))</f>
        <v/>
      </c>
      <c r="J118" s="40" t="str">
        <f aca="false">IF(G118="","",IF(AND(G118&gt;=$B$5,F118&gt;=5,F118&lt;=95),"YES","NO"))</f>
        <v/>
      </c>
      <c r="K118" s="19"/>
      <c r="L118" s="19"/>
      <c r="M118" s="18"/>
      <c r="N118" s="10" t="str">
        <f aca="false">IF(L118="Won",I118-H118,IF(L118="Lost",-H118,""))</f>
        <v/>
      </c>
      <c r="O118" s="19"/>
    </row>
    <row r="119" customFormat="false" ht="15" hidden="false" customHeight="false" outlineLevel="0" collapsed="false">
      <c r="A119" s="18"/>
      <c r="B119" s="19"/>
      <c r="C119" s="19"/>
      <c r="D119" s="19"/>
      <c r="E119" s="37"/>
      <c r="F119" s="38"/>
      <c r="G119" s="39" t="str">
        <f aca="false">IF(OR(E119="",F119=""),"",E119*100-F119)</f>
        <v/>
      </c>
      <c r="H119" s="22"/>
      <c r="I119" s="12" t="str">
        <f aca="false">IF(OR(H119="",F119="",N(F119)=0),"",H119/(F119/100))</f>
        <v/>
      </c>
      <c r="J119" s="40" t="str">
        <f aca="false">IF(G119="","",IF(AND(G119&gt;=$B$5,F119&gt;=5,F119&lt;=95),"YES","NO"))</f>
        <v/>
      </c>
      <c r="K119" s="19"/>
      <c r="L119" s="19"/>
      <c r="M119" s="18"/>
      <c r="N119" s="10" t="str">
        <f aca="false">IF(L119="Won",I119-H119,IF(L119="Lost",-H119,""))</f>
        <v/>
      </c>
      <c r="O119" s="19"/>
    </row>
    <row r="120" customFormat="false" ht="15" hidden="false" customHeight="false" outlineLevel="0" collapsed="false">
      <c r="A120" s="18"/>
      <c r="B120" s="19"/>
      <c r="C120" s="19"/>
      <c r="D120" s="19"/>
      <c r="E120" s="37"/>
      <c r="F120" s="38"/>
      <c r="G120" s="39" t="str">
        <f aca="false">IF(OR(E120="",F120=""),"",E120*100-F120)</f>
        <v/>
      </c>
      <c r="H120" s="22"/>
      <c r="I120" s="12" t="str">
        <f aca="false">IF(OR(H120="",F120="",N(F120)=0),"",H120/(F120/100))</f>
        <v/>
      </c>
      <c r="J120" s="40" t="str">
        <f aca="false">IF(G120="","",IF(AND(G120&gt;=$B$5,F120&gt;=5,F120&lt;=95),"YES","NO"))</f>
        <v/>
      </c>
      <c r="K120" s="19"/>
      <c r="L120" s="19"/>
      <c r="M120" s="18"/>
      <c r="N120" s="10" t="str">
        <f aca="false">IF(L120="Won",I120-H120,IF(L120="Lost",-H120,""))</f>
        <v/>
      </c>
      <c r="O120" s="19"/>
    </row>
    <row r="121" customFormat="false" ht="15" hidden="false" customHeight="false" outlineLevel="0" collapsed="false">
      <c r="A121" s="18"/>
      <c r="B121" s="19"/>
      <c r="C121" s="19"/>
      <c r="D121" s="19"/>
      <c r="E121" s="37"/>
      <c r="F121" s="38"/>
      <c r="G121" s="39" t="str">
        <f aca="false">IF(OR(E121="",F121=""),"",E121*100-F121)</f>
        <v/>
      </c>
      <c r="H121" s="22"/>
      <c r="I121" s="12" t="str">
        <f aca="false">IF(OR(H121="",F121="",N(F121)=0),"",H121/(F121/100))</f>
        <v/>
      </c>
      <c r="J121" s="40" t="str">
        <f aca="false">IF(G121="","",IF(AND(G121&gt;=$B$5,F121&gt;=5,F121&lt;=95),"YES","NO"))</f>
        <v/>
      </c>
      <c r="K121" s="19"/>
      <c r="L121" s="19"/>
      <c r="M121" s="18"/>
      <c r="N121" s="10" t="str">
        <f aca="false">IF(L121="Won",I121-H121,IF(L121="Lost",-H121,""))</f>
        <v/>
      </c>
      <c r="O121" s="19"/>
    </row>
    <row r="122" customFormat="false" ht="15" hidden="false" customHeight="false" outlineLevel="0" collapsed="false">
      <c r="A122" s="18"/>
      <c r="B122" s="19"/>
      <c r="C122" s="19"/>
      <c r="D122" s="19"/>
      <c r="E122" s="37"/>
      <c r="F122" s="38"/>
      <c r="G122" s="39" t="str">
        <f aca="false">IF(OR(E122="",F122=""),"",E122*100-F122)</f>
        <v/>
      </c>
      <c r="H122" s="22"/>
      <c r="I122" s="12" t="str">
        <f aca="false">IF(OR(H122="",F122="",N(F122)=0),"",H122/(F122/100))</f>
        <v/>
      </c>
      <c r="J122" s="40" t="str">
        <f aca="false">IF(G122="","",IF(AND(G122&gt;=$B$5,F122&gt;=5,F122&lt;=95),"YES","NO"))</f>
        <v/>
      </c>
      <c r="K122" s="19"/>
      <c r="L122" s="19"/>
      <c r="M122" s="18"/>
      <c r="N122" s="10" t="str">
        <f aca="false">IF(L122="Won",I122-H122,IF(L122="Lost",-H122,""))</f>
        <v/>
      </c>
      <c r="O122" s="19"/>
    </row>
    <row r="123" customFormat="false" ht="15" hidden="false" customHeight="false" outlineLevel="0" collapsed="false">
      <c r="A123" s="18"/>
      <c r="B123" s="19"/>
      <c r="C123" s="19"/>
      <c r="D123" s="19"/>
      <c r="E123" s="37"/>
      <c r="F123" s="38"/>
      <c r="G123" s="39" t="str">
        <f aca="false">IF(OR(E123="",F123=""),"",E123*100-F123)</f>
        <v/>
      </c>
      <c r="H123" s="22"/>
      <c r="I123" s="12" t="str">
        <f aca="false">IF(OR(H123="",F123="",N(F123)=0),"",H123/(F123/100))</f>
        <v/>
      </c>
      <c r="J123" s="40" t="str">
        <f aca="false">IF(G123="","",IF(AND(G123&gt;=$B$5,F123&gt;=5,F123&lt;=95),"YES","NO"))</f>
        <v/>
      </c>
      <c r="K123" s="19"/>
      <c r="L123" s="19"/>
      <c r="M123" s="18"/>
      <c r="N123" s="10" t="str">
        <f aca="false">IF(L123="Won",I123-H123,IF(L123="Lost",-H123,""))</f>
        <v/>
      </c>
      <c r="O123" s="19"/>
    </row>
    <row r="124" customFormat="false" ht="15" hidden="false" customHeight="false" outlineLevel="0" collapsed="false">
      <c r="A124" s="18"/>
      <c r="B124" s="19"/>
      <c r="C124" s="19"/>
      <c r="D124" s="19"/>
      <c r="E124" s="37"/>
      <c r="F124" s="38"/>
      <c r="G124" s="39" t="str">
        <f aca="false">IF(OR(E124="",F124=""),"",E124*100-F124)</f>
        <v/>
      </c>
      <c r="H124" s="22"/>
      <c r="I124" s="12" t="str">
        <f aca="false">IF(OR(H124="",F124="",N(F124)=0),"",H124/(F124/100))</f>
        <v/>
      </c>
      <c r="J124" s="40" t="str">
        <f aca="false">IF(G124="","",IF(AND(G124&gt;=$B$5,F124&gt;=5,F124&lt;=95),"YES","NO"))</f>
        <v/>
      </c>
      <c r="K124" s="19"/>
      <c r="L124" s="19"/>
      <c r="M124" s="18"/>
      <c r="N124" s="10" t="str">
        <f aca="false">IF(L124="Won",I124-H124,IF(L124="Lost",-H124,""))</f>
        <v/>
      </c>
      <c r="O124" s="19"/>
    </row>
    <row r="125" customFormat="false" ht="15" hidden="false" customHeight="false" outlineLevel="0" collapsed="false">
      <c r="A125" s="18"/>
      <c r="B125" s="19"/>
      <c r="C125" s="19"/>
      <c r="D125" s="19"/>
      <c r="E125" s="37"/>
      <c r="F125" s="38"/>
      <c r="G125" s="39" t="str">
        <f aca="false">IF(OR(E125="",F125=""),"",E125*100-F125)</f>
        <v/>
      </c>
      <c r="H125" s="22"/>
      <c r="I125" s="12" t="str">
        <f aca="false">IF(OR(H125="",F125="",N(F125)=0),"",H125/(F125/100))</f>
        <v/>
      </c>
      <c r="J125" s="40" t="str">
        <f aca="false">IF(G125="","",IF(AND(G125&gt;=$B$5,F125&gt;=5,F125&lt;=95),"YES","NO"))</f>
        <v/>
      </c>
      <c r="K125" s="19"/>
      <c r="L125" s="19"/>
      <c r="M125" s="18"/>
      <c r="N125" s="10" t="str">
        <f aca="false">IF(L125="Won",I125-H125,IF(L125="Lost",-H125,""))</f>
        <v/>
      </c>
      <c r="O125" s="19"/>
    </row>
    <row r="126" customFormat="false" ht="15" hidden="false" customHeight="false" outlineLevel="0" collapsed="false">
      <c r="A126" s="18"/>
      <c r="B126" s="19"/>
      <c r="C126" s="19"/>
      <c r="D126" s="19"/>
      <c r="E126" s="37"/>
      <c r="F126" s="38"/>
      <c r="G126" s="39" t="str">
        <f aca="false">IF(OR(E126="",F126=""),"",E126*100-F126)</f>
        <v/>
      </c>
      <c r="H126" s="22"/>
      <c r="I126" s="12" t="str">
        <f aca="false">IF(OR(H126="",F126="",N(F126)=0),"",H126/(F126/100))</f>
        <v/>
      </c>
      <c r="J126" s="40" t="str">
        <f aca="false">IF(G126="","",IF(AND(G126&gt;=$B$5,F126&gt;=5,F126&lt;=95),"YES","NO"))</f>
        <v/>
      </c>
      <c r="K126" s="19"/>
      <c r="L126" s="19"/>
      <c r="M126" s="18"/>
      <c r="N126" s="10" t="str">
        <f aca="false">IF(L126="Won",I126-H126,IF(L126="Lost",-H126,""))</f>
        <v/>
      </c>
      <c r="O126" s="19"/>
    </row>
    <row r="127" customFormat="false" ht="15" hidden="false" customHeight="false" outlineLevel="0" collapsed="false">
      <c r="A127" s="18"/>
      <c r="B127" s="19"/>
      <c r="C127" s="19"/>
      <c r="D127" s="19"/>
      <c r="E127" s="37"/>
      <c r="F127" s="38"/>
      <c r="G127" s="39" t="str">
        <f aca="false">IF(OR(E127="",F127=""),"",E127*100-F127)</f>
        <v/>
      </c>
      <c r="H127" s="22"/>
      <c r="I127" s="12" t="str">
        <f aca="false">IF(OR(H127="",F127="",N(F127)=0),"",H127/(F127/100))</f>
        <v/>
      </c>
      <c r="J127" s="40" t="str">
        <f aca="false">IF(G127="","",IF(AND(G127&gt;=$B$5,F127&gt;=5,F127&lt;=95),"YES","NO"))</f>
        <v/>
      </c>
      <c r="K127" s="19"/>
      <c r="L127" s="19"/>
      <c r="M127" s="18"/>
      <c r="N127" s="10" t="str">
        <f aca="false">IF(L127="Won",I127-H127,IF(L127="Lost",-H127,""))</f>
        <v/>
      </c>
      <c r="O127" s="19"/>
    </row>
    <row r="128" customFormat="false" ht="15" hidden="false" customHeight="false" outlineLevel="0" collapsed="false">
      <c r="A128" s="18"/>
      <c r="B128" s="19"/>
      <c r="C128" s="19"/>
      <c r="D128" s="19"/>
      <c r="E128" s="37"/>
      <c r="F128" s="38"/>
      <c r="G128" s="39" t="str">
        <f aca="false">IF(OR(E128="",F128=""),"",E128*100-F128)</f>
        <v/>
      </c>
      <c r="H128" s="22"/>
      <c r="I128" s="12" t="str">
        <f aca="false">IF(OR(H128="",F128="",N(F128)=0),"",H128/(F128/100))</f>
        <v/>
      </c>
      <c r="J128" s="40" t="str">
        <f aca="false">IF(G128="","",IF(AND(G128&gt;=$B$5,F128&gt;=5,F128&lt;=95),"YES","NO"))</f>
        <v/>
      </c>
      <c r="K128" s="19"/>
      <c r="L128" s="19"/>
      <c r="M128" s="18"/>
      <c r="N128" s="10" t="str">
        <f aca="false">IF(L128="Won",I128-H128,IF(L128="Lost",-H128,""))</f>
        <v/>
      </c>
      <c r="O128" s="19"/>
    </row>
    <row r="129" customFormat="false" ht="15" hidden="false" customHeight="false" outlineLevel="0" collapsed="false">
      <c r="A129" s="18"/>
      <c r="B129" s="19"/>
      <c r="C129" s="19"/>
      <c r="D129" s="19"/>
      <c r="E129" s="37"/>
      <c r="F129" s="38"/>
      <c r="G129" s="39" t="str">
        <f aca="false">IF(OR(E129="",F129=""),"",E129*100-F129)</f>
        <v/>
      </c>
      <c r="H129" s="22"/>
      <c r="I129" s="12" t="str">
        <f aca="false">IF(OR(H129="",F129="",N(F129)=0),"",H129/(F129/100))</f>
        <v/>
      </c>
      <c r="J129" s="40" t="str">
        <f aca="false">IF(G129="","",IF(AND(G129&gt;=$B$5,F129&gt;=5,F129&lt;=95),"YES","NO"))</f>
        <v/>
      </c>
      <c r="K129" s="19"/>
      <c r="L129" s="19"/>
      <c r="M129" s="18"/>
      <c r="N129" s="10" t="str">
        <f aca="false">IF(L129="Won",I129-H129,IF(L129="Lost",-H129,""))</f>
        <v/>
      </c>
      <c r="O129" s="19"/>
    </row>
    <row r="130" customFormat="false" ht="15" hidden="false" customHeight="false" outlineLevel="0" collapsed="false">
      <c r="A130" s="18"/>
      <c r="B130" s="19"/>
      <c r="C130" s="19"/>
      <c r="D130" s="19"/>
      <c r="E130" s="37"/>
      <c r="F130" s="38"/>
      <c r="G130" s="39" t="str">
        <f aca="false">IF(OR(E130="",F130=""),"",E130*100-F130)</f>
        <v/>
      </c>
      <c r="H130" s="22"/>
      <c r="I130" s="12" t="str">
        <f aca="false">IF(OR(H130="",F130="",N(F130)=0),"",H130/(F130/100))</f>
        <v/>
      </c>
      <c r="J130" s="40" t="str">
        <f aca="false">IF(G130="","",IF(AND(G130&gt;=$B$5,F130&gt;=5,F130&lt;=95),"YES","NO"))</f>
        <v/>
      </c>
      <c r="K130" s="19"/>
      <c r="L130" s="19"/>
      <c r="M130" s="18"/>
      <c r="N130" s="10" t="str">
        <f aca="false">IF(L130="Won",I130-H130,IF(L130="Lost",-H130,""))</f>
        <v/>
      </c>
      <c r="O130" s="19"/>
    </row>
    <row r="131" customFormat="false" ht="15" hidden="false" customHeight="false" outlineLevel="0" collapsed="false">
      <c r="A131" s="18"/>
      <c r="B131" s="19"/>
      <c r="C131" s="19"/>
      <c r="D131" s="19"/>
      <c r="E131" s="37"/>
      <c r="F131" s="38"/>
      <c r="G131" s="39" t="str">
        <f aca="false">IF(OR(E131="",F131=""),"",E131*100-F131)</f>
        <v/>
      </c>
      <c r="H131" s="22"/>
      <c r="I131" s="12" t="str">
        <f aca="false">IF(OR(H131="",F131="",N(F131)=0),"",H131/(F131/100))</f>
        <v/>
      </c>
      <c r="J131" s="40" t="str">
        <f aca="false">IF(G131="","",IF(AND(G131&gt;=$B$5,F131&gt;=5,F131&lt;=95),"YES","NO"))</f>
        <v/>
      </c>
      <c r="K131" s="19"/>
      <c r="L131" s="19"/>
      <c r="M131" s="18"/>
      <c r="N131" s="10" t="str">
        <f aca="false">IF(L131="Won",I131-H131,IF(L131="Lost",-H131,""))</f>
        <v/>
      </c>
      <c r="O131" s="19"/>
    </row>
    <row r="132" customFormat="false" ht="15" hidden="false" customHeight="false" outlineLevel="0" collapsed="false">
      <c r="A132" s="18"/>
      <c r="B132" s="19"/>
      <c r="C132" s="19"/>
      <c r="D132" s="19"/>
      <c r="E132" s="37"/>
      <c r="F132" s="38"/>
      <c r="G132" s="39" t="str">
        <f aca="false">IF(OR(E132="",F132=""),"",E132*100-F132)</f>
        <v/>
      </c>
      <c r="H132" s="22"/>
      <c r="I132" s="12" t="str">
        <f aca="false">IF(OR(H132="",F132="",N(F132)=0),"",H132/(F132/100))</f>
        <v/>
      </c>
      <c r="J132" s="40" t="str">
        <f aca="false">IF(G132="","",IF(AND(G132&gt;=$B$5,F132&gt;=5,F132&lt;=95),"YES","NO"))</f>
        <v/>
      </c>
      <c r="K132" s="19"/>
      <c r="L132" s="19"/>
      <c r="M132" s="18"/>
      <c r="N132" s="10" t="str">
        <f aca="false">IF(L132="Won",I132-H132,IF(L132="Lost",-H132,""))</f>
        <v/>
      </c>
      <c r="O132" s="19"/>
    </row>
    <row r="133" customFormat="false" ht="15" hidden="false" customHeight="false" outlineLevel="0" collapsed="false">
      <c r="A133" s="18"/>
      <c r="B133" s="19"/>
      <c r="C133" s="19"/>
      <c r="D133" s="19"/>
      <c r="E133" s="37"/>
      <c r="F133" s="38"/>
      <c r="G133" s="39" t="str">
        <f aca="false">IF(OR(E133="",F133=""),"",E133*100-F133)</f>
        <v/>
      </c>
      <c r="H133" s="22"/>
      <c r="I133" s="12" t="str">
        <f aca="false">IF(OR(H133="",F133="",N(F133)=0),"",H133/(F133/100))</f>
        <v/>
      </c>
      <c r="J133" s="40" t="str">
        <f aca="false">IF(G133="","",IF(AND(G133&gt;=$B$5,F133&gt;=5,F133&lt;=95),"YES","NO"))</f>
        <v/>
      </c>
      <c r="K133" s="19"/>
      <c r="L133" s="19"/>
      <c r="M133" s="18"/>
      <c r="N133" s="10" t="str">
        <f aca="false">IF(L133="Won",I133-H133,IF(L133="Lost",-H133,""))</f>
        <v/>
      </c>
      <c r="O133" s="19"/>
    </row>
    <row r="134" customFormat="false" ht="15" hidden="false" customHeight="false" outlineLevel="0" collapsed="false">
      <c r="A134" s="18"/>
      <c r="B134" s="19"/>
      <c r="C134" s="19"/>
      <c r="D134" s="19"/>
      <c r="E134" s="37"/>
      <c r="F134" s="38"/>
      <c r="G134" s="39" t="str">
        <f aca="false">IF(OR(E134="",F134=""),"",E134*100-F134)</f>
        <v/>
      </c>
      <c r="H134" s="22"/>
      <c r="I134" s="12" t="str">
        <f aca="false">IF(OR(H134="",F134="",N(F134)=0),"",H134/(F134/100))</f>
        <v/>
      </c>
      <c r="J134" s="40" t="str">
        <f aca="false">IF(G134="","",IF(AND(G134&gt;=$B$5,F134&gt;=5,F134&lt;=95),"YES","NO"))</f>
        <v/>
      </c>
      <c r="K134" s="19"/>
      <c r="L134" s="19"/>
      <c r="M134" s="18"/>
      <c r="N134" s="10" t="str">
        <f aca="false">IF(L134="Won",I134-H134,IF(L134="Lost",-H134,""))</f>
        <v/>
      </c>
      <c r="O134" s="19"/>
    </row>
    <row r="135" customFormat="false" ht="15" hidden="false" customHeight="false" outlineLevel="0" collapsed="false">
      <c r="A135" s="18"/>
      <c r="B135" s="19"/>
      <c r="C135" s="19"/>
      <c r="D135" s="19"/>
      <c r="E135" s="37"/>
      <c r="F135" s="38"/>
      <c r="G135" s="39" t="str">
        <f aca="false">IF(OR(E135="",F135=""),"",E135*100-F135)</f>
        <v/>
      </c>
      <c r="H135" s="22"/>
      <c r="I135" s="12" t="str">
        <f aca="false">IF(OR(H135="",F135="",N(F135)=0),"",H135/(F135/100))</f>
        <v/>
      </c>
      <c r="J135" s="40" t="str">
        <f aca="false">IF(G135="","",IF(AND(G135&gt;=$B$5,F135&gt;=5,F135&lt;=95),"YES","NO"))</f>
        <v/>
      </c>
      <c r="K135" s="19"/>
      <c r="L135" s="19"/>
      <c r="M135" s="18"/>
      <c r="N135" s="10" t="str">
        <f aca="false">IF(L135="Won",I135-H135,IF(L135="Lost",-H135,""))</f>
        <v/>
      </c>
      <c r="O135" s="19"/>
    </row>
    <row r="136" customFormat="false" ht="15" hidden="false" customHeight="false" outlineLevel="0" collapsed="false">
      <c r="A136" s="18"/>
      <c r="B136" s="19"/>
      <c r="C136" s="19"/>
      <c r="D136" s="19"/>
      <c r="E136" s="37"/>
      <c r="F136" s="38"/>
      <c r="G136" s="39" t="str">
        <f aca="false">IF(OR(E136="",F136=""),"",E136*100-F136)</f>
        <v/>
      </c>
      <c r="H136" s="22"/>
      <c r="I136" s="12" t="str">
        <f aca="false">IF(OR(H136="",F136="",N(F136)=0),"",H136/(F136/100))</f>
        <v/>
      </c>
      <c r="J136" s="40" t="str">
        <f aca="false">IF(G136="","",IF(AND(G136&gt;=$B$5,F136&gt;=5,F136&lt;=95),"YES","NO"))</f>
        <v/>
      </c>
      <c r="K136" s="19"/>
      <c r="L136" s="19"/>
      <c r="M136" s="18"/>
      <c r="N136" s="10" t="str">
        <f aca="false">IF(L136="Won",I136-H136,IF(L136="Lost",-H136,""))</f>
        <v/>
      </c>
      <c r="O136" s="19"/>
    </row>
    <row r="137" customFormat="false" ht="15" hidden="false" customHeight="false" outlineLevel="0" collapsed="false">
      <c r="A137" s="18"/>
      <c r="B137" s="19"/>
      <c r="C137" s="19"/>
      <c r="D137" s="19"/>
      <c r="E137" s="37"/>
      <c r="F137" s="38"/>
      <c r="G137" s="39" t="str">
        <f aca="false">IF(OR(E137="",F137=""),"",E137*100-F137)</f>
        <v/>
      </c>
      <c r="H137" s="22"/>
      <c r="I137" s="12" t="str">
        <f aca="false">IF(OR(H137="",F137="",N(F137)=0),"",H137/(F137/100))</f>
        <v/>
      </c>
      <c r="J137" s="40" t="str">
        <f aca="false">IF(G137="","",IF(AND(G137&gt;=$B$5,F137&gt;=5,F137&lt;=95),"YES","NO"))</f>
        <v/>
      </c>
      <c r="K137" s="19"/>
      <c r="L137" s="19"/>
      <c r="M137" s="18"/>
      <c r="N137" s="10" t="str">
        <f aca="false">IF(L137="Won",I137-H137,IF(L137="Lost",-H137,""))</f>
        <v/>
      </c>
      <c r="O137" s="19"/>
    </row>
    <row r="138" customFormat="false" ht="15" hidden="false" customHeight="false" outlineLevel="0" collapsed="false">
      <c r="A138" s="18"/>
      <c r="B138" s="19"/>
      <c r="C138" s="19"/>
      <c r="D138" s="19"/>
      <c r="E138" s="37"/>
      <c r="F138" s="38"/>
      <c r="G138" s="39" t="str">
        <f aca="false">IF(OR(E138="",F138=""),"",E138*100-F138)</f>
        <v/>
      </c>
      <c r="H138" s="22"/>
      <c r="I138" s="12" t="str">
        <f aca="false">IF(OR(H138="",F138="",N(F138)=0),"",H138/(F138/100))</f>
        <v/>
      </c>
      <c r="J138" s="40" t="str">
        <f aca="false">IF(G138="","",IF(AND(G138&gt;=$B$5,F138&gt;=5,F138&lt;=95),"YES","NO"))</f>
        <v/>
      </c>
      <c r="K138" s="19"/>
      <c r="L138" s="19"/>
      <c r="M138" s="18"/>
      <c r="N138" s="10" t="str">
        <f aca="false">IF(L138="Won",I138-H138,IF(L138="Lost",-H138,""))</f>
        <v/>
      </c>
      <c r="O138" s="19"/>
    </row>
    <row r="139" customFormat="false" ht="15" hidden="false" customHeight="false" outlineLevel="0" collapsed="false">
      <c r="A139" s="18"/>
      <c r="B139" s="19"/>
      <c r="C139" s="19"/>
      <c r="D139" s="19"/>
      <c r="E139" s="37"/>
      <c r="F139" s="38"/>
      <c r="G139" s="39" t="str">
        <f aca="false">IF(OR(E139="",F139=""),"",E139*100-F139)</f>
        <v/>
      </c>
      <c r="H139" s="22"/>
      <c r="I139" s="12" t="str">
        <f aca="false">IF(OR(H139="",F139="",N(F139)=0),"",H139/(F139/100))</f>
        <v/>
      </c>
      <c r="J139" s="40" t="str">
        <f aca="false">IF(G139="","",IF(AND(G139&gt;=$B$5,F139&gt;=5,F139&lt;=95),"YES","NO"))</f>
        <v/>
      </c>
      <c r="K139" s="19"/>
      <c r="L139" s="19"/>
      <c r="M139" s="18"/>
      <c r="N139" s="10" t="str">
        <f aca="false">IF(L139="Won",I139-H139,IF(L139="Lost",-H139,""))</f>
        <v/>
      </c>
      <c r="O139" s="19"/>
    </row>
    <row r="140" customFormat="false" ht="15" hidden="false" customHeight="false" outlineLevel="0" collapsed="false">
      <c r="A140" s="18"/>
      <c r="B140" s="19"/>
      <c r="C140" s="19"/>
      <c r="D140" s="19"/>
      <c r="E140" s="37"/>
      <c r="F140" s="38"/>
      <c r="G140" s="39" t="str">
        <f aca="false">IF(OR(E140="",F140=""),"",E140*100-F140)</f>
        <v/>
      </c>
      <c r="H140" s="22"/>
      <c r="I140" s="12" t="str">
        <f aca="false">IF(OR(H140="",F140="",N(F140)=0),"",H140/(F140/100))</f>
        <v/>
      </c>
      <c r="J140" s="40" t="str">
        <f aca="false">IF(G140="","",IF(AND(G140&gt;=$B$5,F140&gt;=5,F140&lt;=95),"YES","NO"))</f>
        <v/>
      </c>
      <c r="K140" s="19"/>
      <c r="L140" s="19"/>
      <c r="M140" s="18"/>
      <c r="N140" s="10" t="str">
        <f aca="false">IF(L140="Won",I140-H140,IF(L140="Lost",-H140,""))</f>
        <v/>
      </c>
      <c r="O140" s="19"/>
    </row>
    <row r="141" customFormat="false" ht="15" hidden="false" customHeight="false" outlineLevel="0" collapsed="false">
      <c r="A141" s="18"/>
      <c r="B141" s="19"/>
      <c r="C141" s="19"/>
      <c r="D141" s="19"/>
      <c r="E141" s="37"/>
      <c r="F141" s="38"/>
      <c r="G141" s="39" t="str">
        <f aca="false">IF(OR(E141="",F141=""),"",E141*100-F141)</f>
        <v/>
      </c>
      <c r="H141" s="22"/>
      <c r="I141" s="12" t="str">
        <f aca="false">IF(OR(H141="",F141="",N(F141)=0),"",H141/(F141/100))</f>
        <v/>
      </c>
      <c r="J141" s="40" t="str">
        <f aca="false">IF(G141="","",IF(AND(G141&gt;=$B$5,F141&gt;=5,F141&lt;=95),"YES","NO"))</f>
        <v/>
      </c>
      <c r="K141" s="19"/>
      <c r="L141" s="19"/>
      <c r="M141" s="18"/>
      <c r="N141" s="10" t="str">
        <f aca="false">IF(L141="Won",I141-H141,IF(L141="Lost",-H141,""))</f>
        <v/>
      </c>
      <c r="O141" s="19"/>
    </row>
    <row r="142" customFormat="false" ht="15" hidden="false" customHeight="false" outlineLevel="0" collapsed="false">
      <c r="A142" s="18"/>
      <c r="B142" s="19"/>
      <c r="C142" s="19"/>
      <c r="D142" s="19"/>
      <c r="E142" s="37"/>
      <c r="F142" s="38"/>
      <c r="G142" s="39" t="str">
        <f aca="false">IF(OR(E142="",F142=""),"",E142*100-F142)</f>
        <v/>
      </c>
      <c r="H142" s="22"/>
      <c r="I142" s="12" t="str">
        <f aca="false">IF(OR(H142="",F142="",N(F142)=0),"",H142/(F142/100))</f>
        <v/>
      </c>
      <c r="J142" s="40" t="str">
        <f aca="false">IF(G142="","",IF(AND(G142&gt;=$B$5,F142&gt;=5,F142&lt;=95),"YES","NO"))</f>
        <v/>
      </c>
      <c r="K142" s="19"/>
      <c r="L142" s="19"/>
      <c r="M142" s="18"/>
      <c r="N142" s="10" t="str">
        <f aca="false">IF(L142="Won",I142-H142,IF(L142="Lost",-H142,""))</f>
        <v/>
      </c>
      <c r="O142" s="19"/>
    </row>
    <row r="143" customFormat="false" ht="15" hidden="false" customHeight="false" outlineLevel="0" collapsed="false">
      <c r="A143" s="18"/>
      <c r="B143" s="19"/>
      <c r="C143" s="19"/>
      <c r="D143" s="19"/>
      <c r="E143" s="37"/>
      <c r="F143" s="38"/>
      <c r="G143" s="39" t="str">
        <f aca="false">IF(OR(E143="",F143=""),"",E143*100-F143)</f>
        <v/>
      </c>
      <c r="H143" s="22"/>
      <c r="I143" s="12" t="str">
        <f aca="false">IF(OR(H143="",F143="",N(F143)=0),"",H143/(F143/100))</f>
        <v/>
      </c>
      <c r="J143" s="40" t="str">
        <f aca="false">IF(G143="","",IF(AND(G143&gt;=$B$5,F143&gt;=5,F143&lt;=95),"YES","NO"))</f>
        <v/>
      </c>
      <c r="K143" s="19"/>
      <c r="L143" s="19"/>
      <c r="M143" s="18"/>
      <c r="N143" s="10" t="str">
        <f aca="false">IF(L143="Won",I143-H143,IF(L143="Lost",-H143,""))</f>
        <v/>
      </c>
      <c r="O143" s="19"/>
    </row>
    <row r="144" customFormat="false" ht="15" hidden="false" customHeight="false" outlineLevel="0" collapsed="false">
      <c r="A144" s="18"/>
      <c r="B144" s="19"/>
      <c r="C144" s="19"/>
      <c r="D144" s="19"/>
      <c r="E144" s="37"/>
      <c r="F144" s="38"/>
      <c r="G144" s="39" t="str">
        <f aca="false">IF(OR(E144="",F144=""),"",E144*100-F144)</f>
        <v/>
      </c>
      <c r="H144" s="22"/>
      <c r="I144" s="12" t="str">
        <f aca="false">IF(OR(H144="",F144="",N(F144)=0),"",H144/(F144/100))</f>
        <v/>
      </c>
      <c r="J144" s="40" t="str">
        <f aca="false">IF(G144="","",IF(AND(G144&gt;=$B$5,F144&gt;=5,F144&lt;=95),"YES","NO"))</f>
        <v/>
      </c>
      <c r="K144" s="19"/>
      <c r="L144" s="19"/>
      <c r="M144" s="18"/>
      <c r="N144" s="10" t="str">
        <f aca="false">IF(L144="Won",I144-H144,IF(L144="Lost",-H144,""))</f>
        <v/>
      </c>
      <c r="O144" s="19"/>
    </row>
    <row r="145" customFormat="false" ht="15" hidden="false" customHeight="false" outlineLevel="0" collapsed="false">
      <c r="A145" s="18"/>
      <c r="B145" s="19"/>
      <c r="C145" s="19"/>
      <c r="D145" s="19"/>
      <c r="E145" s="37"/>
      <c r="F145" s="38"/>
      <c r="G145" s="39" t="str">
        <f aca="false">IF(OR(E145="",F145=""),"",E145*100-F145)</f>
        <v/>
      </c>
      <c r="H145" s="22"/>
      <c r="I145" s="12" t="str">
        <f aca="false">IF(OR(H145="",F145="",N(F145)=0),"",H145/(F145/100))</f>
        <v/>
      </c>
      <c r="J145" s="40" t="str">
        <f aca="false">IF(G145="","",IF(AND(G145&gt;=$B$5,F145&gt;=5,F145&lt;=95),"YES","NO"))</f>
        <v/>
      </c>
      <c r="K145" s="19"/>
      <c r="L145" s="19"/>
      <c r="M145" s="18"/>
      <c r="N145" s="10" t="str">
        <f aca="false">IF(L145="Won",I145-H145,IF(L145="Lost",-H145,""))</f>
        <v/>
      </c>
      <c r="O145" s="19"/>
    </row>
    <row r="146" customFormat="false" ht="15" hidden="false" customHeight="false" outlineLevel="0" collapsed="false">
      <c r="A146" s="18"/>
      <c r="B146" s="19"/>
      <c r="C146" s="19"/>
      <c r="D146" s="19"/>
      <c r="E146" s="37"/>
      <c r="F146" s="38"/>
      <c r="G146" s="39" t="str">
        <f aca="false">IF(OR(E146="",F146=""),"",E146*100-F146)</f>
        <v/>
      </c>
      <c r="H146" s="22"/>
      <c r="I146" s="12" t="str">
        <f aca="false">IF(OR(H146="",F146="",N(F146)=0),"",H146/(F146/100))</f>
        <v/>
      </c>
      <c r="J146" s="40" t="str">
        <f aca="false">IF(G146="","",IF(AND(G146&gt;=$B$5,F146&gt;=5,F146&lt;=95),"YES","NO"))</f>
        <v/>
      </c>
      <c r="K146" s="19"/>
      <c r="L146" s="19"/>
      <c r="M146" s="18"/>
      <c r="N146" s="10" t="str">
        <f aca="false">IF(L146="Won",I146-H146,IF(L146="Lost",-H146,""))</f>
        <v/>
      </c>
      <c r="O146" s="19"/>
    </row>
    <row r="147" customFormat="false" ht="15" hidden="false" customHeight="false" outlineLevel="0" collapsed="false">
      <c r="A147" s="18"/>
      <c r="B147" s="19"/>
      <c r="C147" s="19"/>
      <c r="D147" s="19"/>
      <c r="E147" s="37"/>
      <c r="F147" s="38"/>
      <c r="G147" s="39" t="str">
        <f aca="false">IF(OR(E147="",F147=""),"",E147*100-F147)</f>
        <v/>
      </c>
      <c r="H147" s="22"/>
      <c r="I147" s="12" t="str">
        <f aca="false">IF(OR(H147="",F147="",N(F147)=0),"",H147/(F147/100))</f>
        <v/>
      </c>
      <c r="J147" s="40" t="str">
        <f aca="false">IF(G147="","",IF(AND(G147&gt;=$B$5,F147&gt;=5,F147&lt;=95),"YES","NO"))</f>
        <v/>
      </c>
      <c r="K147" s="19"/>
      <c r="L147" s="19"/>
      <c r="M147" s="18"/>
      <c r="N147" s="10" t="str">
        <f aca="false">IF(L147="Won",I147-H147,IF(L147="Lost",-H147,""))</f>
        <v/>
      </c>
      <c r="O147" s="19"/>
    </row>
    <row r="148" customFormat="false" ht="15" hidden="false" customHeight="false" outlineLevel="0" collapsed="false">
      <c r="A148" s="18"/>
      <c r="B148" s="19"/>
      <c r="C148" s="19"/>
      <c r="D148" s="19"/>
      <c r="E148" s="37"/>
      <c r="F148" s="38"/>
      <c r="G148" s="39" t="str">
        <f aca="false">IF(OR(E148="",F148=""),"",E148*100-F148)</f>
        <v/>
      </c>
      <c r="H148" s="22"/>
      <c r="I148" s="12" t="str">
        <f aca="false">IF(OR(H148="",F148="",N(F148)=0),"",H148/(F148/100))</f>
        <v/>
      </c>
      <c r="J148" s="40" t="str">
        <f aca="false">IF(G148="","",IF(AND(G148&gt;=$B$5,F148&gt;=5,F148&lt;=95),"YES","NO"))</f>
        <v/>
      </c>
      <c r="K148" s="19"/>
      <c r="L148" s="19"/>
      <c r="M148" s="18"/>
      <c r="N148" s="10" t="str">
        <f aca="false">IF(L148="Won",I148-H148,IF(L148="Lost",-H148,""))</f>
        <v/>
      </c>
      <c r="O148" s="19"/>
    </row>
    <row r="149" customFormat="false" ht="15" hidden="false" customHeight="false" outlineLevel="0" collapsed="false">
      <c r="A149" s="18"/>
      <c r="B149" s="19"/>
      <c r="C149" s="19"/>
      <c r="D149" s="19"/>
      <c r="E149" s="37"/>
      <c r="F149" s="38"/>
      <c r="G149" s="39" t="str">
        <f aca="false">IF(OR(E149="",F149=""),"",E149*100-F149)</f>
        <v/>
      </c>
      <c r="H149" s="22"/>
      <c r="I149" s="12" t="str">
        <f aca="false">IF(OR(H149="",F149="",N(F149)=0),"",H149/(F149/100))</f>
        <v/>
      </c>
      <c r="J149" s="40" t="str">
        <f aca="false">IF(G149="","",IF(AND(G149&gt;=$B$5,F149&gt;=5,F149&lt;=95),"YES","NO"))</f>
        <v/>
      </c>
      <c r="K149" s="19"/>
      <c r="L149" s="19"/>
      <c r="M149" s="18"/>
      <c r="N149" s="10" t="str">
        <f aca="false">IF(L149="Won",I149-H149,IF(L149="Lost",-H149,""))</f>
        <v/>
      </c>
      <c r="O149" s="19"/>
    </row>
    <row r="150" customFormat="false" ht="15" hidden="false" customHeight="false" outlineLevel="0" collapsed="false">
      <c r="A150" s="18"/>
      <c r="B150" s="19"/>
      <c r="C150" s="19"/>
      <c r="D150" s="19"/>
      <c r="E150" s="37"/>
      <c r="F150" s="38"/>
      <c r="G150" s="39" t="str">
        <f aca="false">IF(OR(E150="",F150=""),"",E150*100-F150)</f>
        <v/>
      </c>
      <c r="H150" s="22"/>
      <c r="I150" s="12" t="str">
        <f aca="false">IF(OR(H150="",F150="",N(F150)=0),"",H150/(F150/100))</f>
        <v/>
      </c>
      <c r="J150" s="40" t="str">
        <f aca="false">IF(G150="","",IF(AND(G150&gt;=$B$5,F150&gt;=5,F150&lt;=95),"YES","NO"))</f>
        <v/>
      </c>
      <c r="K150" s="19"/>
      <c r="L150" s="19"/>
      <c r="M150" s="18"/>
      <c r="N150" s="10" t="str">
        <f aca="false">IF(L150="Won",I150-H150,IF(L150="Lost",-H150,""))</f>
        <v/>
      </c>
      <c r="O150" s="19"/>
    </row>
    <row r="151" customFormat="false" ht="15" hidden="false" customHeight="false" outlineLevel="0" collapsed="false">
      <c r="A151" s="18"/>
      <c r="B151" s="19"/>
      <c r="C151" s="19"/>
      <c r="D151" s="19"/>
      <c r="E151" s="37"/>
      <c r="F151" s="38"/>
      <c r="G151" s="39" t="str">
        <f aca="false">IF(OR(E151="",F151=""),"",E151*100-F151)</f>
        <v/>
      </c>
      <c r="H151" s="22"/>
      <c r="I151" s="12" t="str">
        <f aca="false">IF(OR(H151="",F151="",N(F151)=0),"",H151/(F151/100))</f>
        <v/>
      </c>
      <c r="J151" s="40" t="str">
        <f aca="false">IF(G151="","",IF(AND(G151&gt;=$B$5,F151&gt;=5,F151&lt;=95),"YES","NO"))</f>
        <v/>
      </c>
      <c r="K151" s="19"/>
      <c r="L151" s="19"/>
      <c r="M151" s="18"/>
      <c r="N151" s="10" t="str">
        <f aca="false">IF(L151="Won",I151-H151,IF(L151="Lost",-H151,""))</f>
        <v/>
      </c>
      <c r="O151" s="19"/>
    </row>
    <row r="152" customFormat="false" ht="15" hidden="false" customHeight="false" outlineLevel="0" collapsed="false">
      <c r="A152" s="18"/>
      <c r="B152" s="19"/>
      <c r="C152" s="19"/>
      <c r="D152" s="19"/>
      <c r="E152" s="37"/>
      <c r="F152" s="38"/>
      <c r="G152" s="39" t="str">
        <f aca="false">IF(OR(E152="",F152=""),"",E152*100-F152)</f>
        <v/>
      </c>
      <c r="H152" s="22"/>
      <c r="I152" s="12" t="str">
        <f aca="false">IF(OR(H152="",F152="",N(F152)=0),"",H152/(F152/100))</f>
        <v/>
      </c>
      <c r="J152" s="40" t="str">
        <f aca="false">IF(G152="","",IF(AND(G152&gt;=$B$5,F152&gt;=5,F152&lt;=95),"YES","NO"))</f>
        <v/>
      </c>
      <c r="K152" s="19"/>
      <c r="L152" s="19"/>
      <c r="M152" s="18"/>
      <c r="N152" s="10" t="str">
        <f aca="false">IF(L152="Won",I152-H152,IF(L152="Lost",-H152,""))</f>
        <v/>
      </c>
      <c r="O152" s="19"/>
    </row>
    <row r="153" customFormat="false" ht="15" hidden="false" customHeight="false" outlineLevel="0" collapsed="false">
      <c r="A153" s="18"/>
      <c r="B153" s="19"/>
      <c r="C153" s="19"/>
      <c r="D153" s="19"/>
      <c r="E153" s="37"/>
      <c r="F153" s="38"/>
      <c r="G153" s="39" t="str">
        <f aca="false">IF(OR(E153="",F153=""),"",E153*100-F153)</f>
        <v/>
      </c>
      <c r="H153" s="22"/>
      <c r="I153" s="12" t="str">
        <f aca="false">IF(OR(H153="",F153="",N(F153)=0),"",H153/(F153/100))</f>
        <v/>
      </c>
      <c r="J153" s="40" t="str">
        <f aca="false">IF(G153="","",IF(AND(G153&gt;=$B$5,F153&gt;=5,F153&lt;=95),"YES","NO"))</f>
        <v/>
      </c>
      <c r="K153" s="19"/>
      <c r="L153" s="19"/>
      <c r="M153" s="18"/>
      <c r="N153" s="10" t="str">
        <f aca="false">IF(L153="Won",I153-H153,IF(L153="Lost",-H153,""))</f>
        <v/>
      </c>
      <c r="O153" s="19"/>
    </row>
    <row r="154" customFormat="false" ht="15" hidden="false" customHeight="false" outlineLevel="0" collapsed="false">
      <c r="A154" s="18"/>
      <c r="B154" s="19"/>
      <c r="C154" s="19"/>
      <c r="D154" s="19"/>
      <c r="E154" s="37"/>
      <c r="F154" s="38"/>
      <c r="G154" s="39" t="str">
        <f aca="false">IF(OR(E154="",F154=""),"",E154*100-F154)</f>
        <v/>
      </c>
      <c r="H154" s="22"/>
      <c r="I154" s="12" t="str">
        <f aca="false">IF(OR(H154="",F154="",N(F154)=0),"",H154/(F154/100))</f>
        <v/>
      </c>
      <c r="J154" s="40" t="str">
        <f aca="false">IF(G154="","",IF(AND(G154&gt;=$B$5,F154&gt;=5,F154&lt;=95),"YES","NO"))</f>
        <v/>
      </c>
      <c r="K154" s="19"/>
      <c r="L154" s="19"/>
      <c r="M154" s="18"/>
      <c r="N154" s="10" t="str">
        <f aca="false">IF(L154="Won",I154-H154,IF(L154="Lost",-H154,""))</f>
        <v/>
      </c>
      <c r="O154" s="19"/>
    </row>
    <row r="155" customFormat="false" ht="15" hidden="false" customHeight="false" outlineLevel="0" collapsed="false">
      <c r="A155" s="18"/>
      <c r="B155" s="19"/>
      <c r="C155" s="19"/>
      <c r="D155" s="19"/>
      <c r="E155" s="37"/>
      <c r="F155" s="38"/>
      <c r="G155" s="39" t="str">
        <f aca="false">IF(OR(E155="",F155=""),"",E155*100-F155)</f>
        <v/>
      </c>
      <c r="H155" s="22"/>
      <c r="I155" s="12" t="str">
        <f aca="false">IF(OR(H155="",F155="",N(F155)=0),"",H155/(F155/100))</f>
        <v/>
      </c>
      <c r="J155" s="40" t="str">
        <f aca="false">IF(G155="","",IF(AND(G155&gt;=$B$5,F155&gt;=5,F155&lt;=95),"YES","NO"))</f>
        <v/>
      </c>
      <c r="K155" s="19"/>
      <c r="L155" s="19"/>
      <c r="M155" s="18"/>
      <c r="N155" s="10" t="str">
        <f aca="false">IF(L155="Won",I155-H155,IF(L155="Lost",-H155,""))</f>
        <v/>
      </c>
      <c r="O155" s="19"/>
    </row>
    <row r="156" customFormat="false" ht="15" hidden="false" customHeight="false" outlineLevel="0" collapsed="false">
      <c r="A156" s="18"/>
      <c r="B156" s="19"/>
      <c r="C156" s="19"/>
      <c r="D156" s="19"/>
      <c r="E156" s="37"/>
      <c r="F156" s="38"/>
      <c r="G156" s="39" t="str">
        <f aca="false">IF(OR(E156="",F156=""),"",E156*100-F156)</f>
        <v/>
      </c>
      <c r="H156" s="22"/>
      <c r="I156" s="12" t="str">
        <f aca="false">IF(OR(H156="",F156="",N(F156)=0),"",H156/(F156/100))</f>
        <v/>
      </c>
      <c r="J156" s="40" t="str">
        <f aca="false">IF(G156="","",IF(AND(G156&gt;=$B$5,F156&gt;=5,F156&lt;=95),"YES","NO"))</f>
        <v/>
      </c>
      <c r="K156" s="19"/>
      <c r="L156" s="19"/>
      <c r="M156" s="18"/>
      <c r="N156" s="10" t="str">
        <f aca="false">IF(L156="Won",I156-H156,IF(L156="Lost",-H156,""))</f>
        <v/>
      </c>
      <c r="O156" s="19"/>
    </row>
    <row r="157" customFormat="false" ht="15" hidden="false" customHeight="false" outlineLevel="0" collapsed="false">
      <c r="A157" s="18"/>
      <c r="B157" s="19"/>
      <c r="C157" s="19"/>
      <c r="D157" s="19"/>
      <c r="E157" s="37"/>
      <c r="F157" s="38"/>
      <c r="G157" s="39" t="str">
        <f aca="false">IF(OR(E157="",F157=""),"",E157*100-F157)</f>
        <v/>
      </c>
      <c r="H157" s="22"/>
      <c r="I157" s="12" t="str">
        <f aca="false">IF(OR(H157="",F157="",N(F157)=0),"",H157/(F157/100))</f>
        <v/>
      </c>
      <c r="J157" s="40" t="str">
        <f aca="false">IF(G157="","",IF(AND(G157&gt;=$B$5,F157&gt;=5,F157&lt;=95),"YES","NO"))</f>
        <v/>
      </c>
      <c r="K157" s="19"/>
      <c r="L157" s="19"/>
      <c r="M157" s="18"/>
      <c r="N157" s="10" t="str">
        <f aca="false">IF(L157="Won",I157-H157,IF(L157="Lost",-H157,""))</f>
        <v/>
      </c>
      <c r="O157" s="19"/>
    </row>
    <row r="158" customFormat="false" ht="15" hidden="false" customHeight="false" outlineLevel="0" collapsed="false">
      <c r="A158" s="18"/>
      <c r="B158" s="19"/>
      <c r="C158" s="19"/>
      <c r="D158" s="19"/>
      <c r="E158" s="37"/>
      <c r="F158" s="38"/>
      <c r="G158" s="39" t="str">
        <f aca="false">IF(OR(E158="",F158=""),"",E158*100-F158)</f>
        <v/>
      </c>
      <c r="H158" s="22"/>
      <c r="I158" s="12" t="str">
        <f aca="false">IF(OR(H158="",F158="",N(F158)=0),"",H158/(F158/100))</f>
        <v/>
      </c>
      <c r="J158" s="40" t="str">
        <f aca="false">IF(G158="","",IF(AND(G158&gt;=$B$5,F158&gt;=5,F158&lt;=95),"YES","NO"))</f>
        <v/>
      </c>
      <c r="K158" s="19"/>
      <c r="L158" s="19"/>
      <c r="M158" s="18"/>
      <c r="N158" s="10" t="str">
        <f aca="false">IF(L158="Won",I158-H158,IF(L158="Lost",-H158,""))</f>
        <v/>
      </c>
      <c r="O158" s="19"/>
    </row>
    <row r="159" customFormat="false" ht="15" hidden="false" customHeight="false" outlineLevel="0" collapsed="false">
      <c r="A159" s="18"/>
      <c r="B159" s="19"/>
      <c r="C159" s="19"/>
      <c r="D159" s="19"/>
      <c r="E159" s="37"/>
      <c r="F159" s="38"/>
      <c r="G159" s="39" t="str">
        <f aca="false">IF(OR(E159="",F159=""),"",E159*100-F159)</f>
        <v/>
      </c>
      <c r="H159" s="22"/>
      <c r="I159" s="12" t="str">
        <f aca="false">IF(OR(H159="",F159="",N(F159)=0),"",H159/(F159/100))</f>
        <v/>
      </c>
      <c r="J159" s="40" t="str">
        <f aca="false">IF(G159="","",IF(AND(G159&gt;=$B$5,F159&gt;=5,F159&lt;=95),"YES","NO"))</f>
        <v/>
      </c>
      <c r="K159" s="19"/>
      <c r="L159" s="19"/>
      <c r="M159" s="18"/>
      <c r="N159" s="10" t="str">
        <f aca="false">IF(L159="Won",I159-H159,IF(L159="Lost",-H159,""))</f>
        <v/>
      </c>
      <c r="O159" s="19"/>
    </row>
    <row r="160" customFormat="false" ht="15" hidden="false" customHeight="false" outlineLevel="0" collapsed="false">
      <c r="A160" s="18"/>
      <c r="B160" s="19"/>
      <c r="C160" s="19"/>
      <c r="D160" s="19"/>
      <c r="E160" s="37"/>
      <c r="F160" s="38"/>
      <c r="G160" s="39" t="str">
        <f aca="false">IF(OR(E160="",F160=""),"",E160*100-F160)</f>
        <v/>
      </c>
      <c r="H160" s="22"/>
      <c r="I160" s="12" t="str">
        <f aca="false">IF(OR(H160="",F160="",N(F160)=0),"",H160/(F160/100))</f>
        <v/>
      </c>
      <c r="J160" s="40" t="str">
        <f aca="false">IF(G160="","",IF(AND(G160&gt;=$B$5,F160&gt;=5,F160&lt;=95),"YES","NO"))</f>
        <v/>
      </c>
      <c r="K160" s="19"/>
      <c r="L160" s="19"/>
      <c r="M160" s="18"/>
      <c r="N160" s="10" t="str">
        <f aca="false">IF(L160="Won",I160-H160,IF(L160="Lost",-H160,""))</f>
        <v/>
      </c>
      <c r="O160" s="19"/>
    </row>
    <row r="161" customFormat="false" ht="15" hidden="false" customHeight="false" outlineLevel="0" collapsed="false">
      <c r="A161" s="18"/>
      <c r="B161" s="19"/>
      <c r="C161" s="19"/>
      <c r="D161" s="19"/>
      <c r="E161" s="37"/>
      <c r="F161" s="38"/>
      <c r="G161" s="39" t="str">
        <f aca="false">IF(OR(E161="",F161=""),"",E161*100-F161)</f>
        <v/>
      </c>
      <c r="H161" s="22"/>
      <c r="I161" s="12" t="str">
        <f aca="false">IF(OR(H161="",F161="",N(F161)=0),"",H161/(F161/100))</f>
        <v/>
      </c>
      <c r="J161" s="40" t="str">
        <f aca="false">IF(G161="","",IF(AND(G161&gt;=$B$5,F161&gt;=5,F161&lt;=95),"YES","NO"))</f>
        <v/>
      </c>
      <c r="K161" s="19"/>
      <c r="L161" s="19"/>
      <c r="M161" s="18"/>
      <c r="N161" s="10" t="str">
        <f aca="false">IF(L161="Won",I161-H161,IF(L161="Lost",-H161,""))</f>
        <v/>
      </c>
      <c r="O161" s="19"/>
    </row>
    <row r="162" customFormat="false" ht="15" hidden="false" customHeight="false" outlineLevel="0" collapsed="false">
      <c r="A162" s="18"/>
      <c r="B162" s="19"/>
      <c r="C162" s="19"/>
      <c r="D162" s="19"/>
      <c r="E162" s="37"/>
      <c r="F162" s="38"/>
      <c r="G162" s="39" t="str">
        <f aca="false">IF(OR(E162="",F162=""),"",E162*100-F162)</f>
        <v/>
      </c>
      <c r="H162" s="22"/>
      <c r="I162" s="12" t="str">
        <f aca="false">IF(OR(H162="",F162="",N(F162)=0),"",H162/(F162/100))</f>
        <v/>
      </c>
      <c r="J162" s="40" t="str">
        <f aca="false">IF(G162="","",IF(AND(G162&gt;=$B$5,F162&gt;=5,F162&lt;=95),"YES","NO"))</f>
        <v/>
      </c>
      <c r="K162" s="19"/>
      <c r="L162" s="19"/>
      <c r="M162" s="18"/>
      <c r="N162" s="10" t="str">
        <f aca="false">IF(L162="Won",I162-H162,IF(L162="Lost",-H162,""))</f>
        <v/>
      </c>
      <c r="O162" s="19"/>
    </row>
    <row r="163" customFormat="false" ht="15" hidden="false" customHeight="false" outlineLevel="0" collapsed="false">
      <c r="A163" s="18"/>
      <c r="B163" s="19"/>
      <c r="C163" s="19"/>
      <c r="D163" s="19"/>
      <c r="E163" s="37"/>
      <c r="F163" s="38"/>
      <c r="G163" s="39" t="str">
        <f aca="false">IF(OR(E163="",F163=""),"",E163*100-F163)</f>
        <v/>
      </c>
      <c r="H163" s="22"/>
      <c r="I163" s="12" t="str">
        <f aca="false">IF(OR(H163="",F163="",N(F163)=0),"",H163/(F163/100))</f>
        <v/>
      </c>
      <c r="J163" s="40" t="str">
        <f aca="false">IF(G163="","",IF(AND(G163&gt;=$B$5,F163&gt;=5,F163&lt;=95),"YES","NO"))</f>
        <v/>
      </c>
      <c r="K163" s="19"/>
      <c r="L163" s="19"/>
      <c r="M163" s="18"/>
      <c r="N163" s="10" t="str">
        <f aca="false">IF(L163="Won",I163-H163,IF(L163="Lost",-H163,""))</f>
        <v/>
      </c>
      <c r="O163" s="19"/>
    </row>
    <row r="164" customFormat="false" ht="15" hidden="false" customHeight="false" outlineLevel="0" collapsed="false">
      <c r="A164" s="18"/>
      <c r="B164" s="19"/>
      <c r="C164" s="19"/>
      <c r="D164" s="19"/>
      <c r="E164" s="37"/>
      <c r="F164" s="38"/>
      <c r="G164" s="39" t="str">
        <f aca="false">IF(OR(E164="",F164=""),"",E164*100-F164)</f>
        <v/>
      </c>
      <c r="H164" s="22"/>
      <c r="I164" s="12" t="str">
        <f aca="false">IF(OR(H164="",F164="",N(F164)=0),"",H164/(F164/100))</f>
        <v/>
      </c>
      <c r="J164" s="40" t="str">
        <f aca="false">IF(G164="","",IF(AND(G164&gt;=$B$5,F164&gt;=5,F164&lt;=95),"YES","NO"))</f>
        <v/>
      </c>
      <c r="K164" s="19"/>
      <c r="L164" s="19"/>
      <c r="M164" s="18"/>
      <c r="N164" s="10" t="str">
        <f aca="false">IF(L164="Won",I164-H164,IF(L164="Lost",-H164,""))</f>
        <v/>
      </c>
      <c r="O164" s="19"/>
    </row>
    <row r="165" customFormat="false" ht="15" hidden="false" customHeight="false" outlineLevel="0" collapsed="false">
      <c r="A165" s="18"/>
      <c r="B165" s="19"/>
      <c r="C165" s="19"/>
      <c r="D165" s="19"/>
      <c r="E165" s="37"/>
      <c r="F165" s="38"/>
      <c r="G165" s="39" t="str">
        <f aca="false">IF(OR(E165="",F165=""),"",E165*100-F165)</f>
        <v/>
      </c>
      <c r="H165" s="22"/>
      <c r="I165" s="12" t="str">
        <f aca="false">IF(OR(H165="",F165="",N(F165)=0),"",H165/(F165/100))</f>
        <v/>
      </c>
      <c r="J165" s="40" t="str">
        <f aca="false">IF(G165="","",IF(AND(G165&gt;=$B$5,F165&gt;=5,F165&lt;=95),"YES","NO"))</f>
        <v/>
      </c>
      <c r="K165" s="19"/>
      <c r="L165" s="19"/>
      <c r="M165" s="18"/>
      <c r="N165" s="10" t="str">
        <f aca="false">IF(L165="Won",I165-H165,IF(L165="Lost",-H165,""))</f>
        <v/>
      </c>
      <c r="O165" s="19"/>
    </row>
    <row r="166" customFormat="false" ht="15" hidden="false" customHeight="false" outlineLevel="0" collapsed="false">
      <c r="A166" s="18"/>
      <c r="B166" s="19"/>
      <c r="C166" s="19"/>
      <c r="D166" s="19"/>
      <c r="E166" s="37"/>
      <c r="F166" s="38"/>
      <c r="G166" s="39" t="str">
        <f aca="false">IF(OR(E166="",F166=""),"",E166*100-F166)</f>
        <v/>
      </c>
      <c r="H166" s="22"/>
      <c r="I166" s="12" t="str">
        <f aca="false">IF(OR(H166="",F166="",N(F166)=0),"",H166/(F166/100))</f>
        <v/>
      </c>
      <c r="J166" s="40" t="str">
        <f aca="false">IF(G166="","",IF(AND(G166&gt;=$B$5,F166&gt;=5,F166&lt;=95),"YES","NO"))</f>
        <v/>
      </c>
      <c r="K166" s="19"/>
      <c r="L166" s="19"/>
      <c r="M166" s="18"/>
      <c r="N166" s="10" t="str">
        <f aca="false">IF(L166="Won",I166-H166,IF(L166="Lost",-H166,""))</f>
        <v/>
      </c>
      <c r="O166" s="19"/>
    </row>
    <row r="167" customFormat="false" ht="15" hidden="false" customHeight="false" outlineLevel="0" collapsed="false">
      <c r="A167" s="18"/>
      <c r="B167" s="19"/>
      <c r="C167" s="19"/>
      <c r="D167" s="19"/>
      <c r="E167" s="37"/>
      <c r="F167" s="38"/>
      <c r="G167" s="39" t="str">
        <f aca="false">IF(OR(E167="",F167=""),"",E167*100-F167)</f>
        <v/>
      </c>
      <c r="H167" s="22"/>
      <c r="I167" s="12" t="str">
        <f aca="false">IF(OR(H167="",F167="",N(F167)=0),"",H167/(F167/100))</f>
        <v/>
      </c>
      <c r="J167" s="40" t="str">
        <f aca="false">IF(G167="","",IF(AND(G167&gt;=$B$5,F167&gt;=5,F167&lt;=95),"YES","NO"))</f>
        <v/>
      </c>
      <c r="K167" s="19"/>
      <c r="L167" s="19"/>
      <c r="M167" s="18"/>
      <c r="N167" s="10" t="str">
        <f aca="false">IF(L167="Won",I167-H167,IF(L167="Lost",-H167,""))</f>
        <v/>
      </c>
      <c r="O167" s="19"/>
    </row>
    <row r="168" customFormat="false" ht="15" hidden="false" customHeight="false" outlineLevel="0" collapsed="false">
      <c r="A168" s="18"/>
      <c r="B168" s="19"/>
      <c r="C168" s="19"/>
      <c r="D168" s="19"/>
      <c r="E168" s="37"/>
      <c r="F168" s="38"/>
      <c r="G168" s="39" t="str">
        <f aca="false">IF(OR(E168="",F168=""),"",E168*100-F168)</f>
        <v/>
      </c>
      <c r="H168" s="22"/>
      <c r="I168" s="12" t="str">
        <f aca="false">IF(OR(H168="",F168="",N(F168)=0),"",H168/(F168/100))</f>
        <v/>
      </c>
      <c r="J168" s="40" t="str">
        <f aca="false">IF(G168="","",IF(AND(G168&gt;=$B$5,F168&gt;=5,F168&lt;=95),"YES","NO"))</f>
        <v/>
      </c>
      <c r="K168" s="19"/>
      <c r="L168" s="19"/>
      <c r="M168" s="18"/>
      <c r="N168" s="10" t="str">
        <f aca="false">IF(L168="Won",I168-H168,IF(L168="Lost",-H168,""))</f>
        <v/>
      </c>
      <c r="O168" s="19"/>
    </row>
    <row r="169" customFormat="false" ht="15" hidden="false" customHeight="false" outlineLevel="0" collapsed="false">
      <c r="A169" s="18"/>
      <c r="B169" s="19"/>
      <c r="C169" s="19"/>
      <c r="D169" s="19"/>
      <c r="E169" s="37"/>
      <c r="F169" s="38"/>
      <c r="G169" s="39" t="str">
        <f aca="false">IF(OR(E169="",F169=""),"",E169*100-F169)</f>
        <v/>
      </c>
      <c r="H169" s="22"/>
      <c r="I169" s="12" t="str">
        <f aca="false">IF(OR(H169="",F169="",N(F169)=0),"",H169/(F169/100))</f>
        <v/>
      </c>
      <c r="J169" s="40" t="str">
        <f aca="false">IF(G169="","",IF(AND(G169&gt;=$B$5,F169&gt;=5,F169&lt;=95),"YES","NO"))</f>
        <v/>
      </c>
      <c r="K169" s="19"/>
      <c r="L169" s="19"/>
      <c r="M169" s="18"/>
      <c r="N169" s="10" t="str">
        <f aca="false">IF(L169="Won",I169-H169,IF(L169="Lost",-H169,""))</f>
        <v/>
      </c>
      <c r="O169" s="19"/>
    </row>
    <row r="170" customFormat="false" ht="15" hidden="false" customHeight="false" outlineLevel="0" collapsed="false">
      <c r="A170" s="18"/>
      <c r="B170" s="19"/>
      <c r="C170" s="19"/>
      <c r="D170" s="19"/>
      <c r="E170" s="37"/>
      <c r="F170" s="38"/>
      <c r="G170" s="39" t="str">
        <f aca="false">IF(OR(E170="",F170=""),"",E170*100-F170)</f>
        <v/>
      </c>
      <c r="H170" s="22"/>
      <c r="I170" s="12" t="str">
        <f aca="false">IF(OR(H170="",F170="",N(F170)=0),"",H170/(F170/100))</f>
        <v/>
      </c>
      <c r="J170" s="40" t="str">
        <f aca="false">IF(G170="","",IF(AND(G170&gt;=$B$5,F170&gt;=5,F170&lt;=95),"YES","NO"))</f>
        <v/>
      </c>
      <c r="K170" s="19"/>
      <c r="L170" s="19"/>
      <c r="M170" s="18"/>
      <c r="N170" s="10" t="str">
        <f aca="false">IF(L170="Won",I170-H170,IF(L170="Lost",-H170,""))</f>
        <v/>
      </c>
      <c r="O170" s="19"/>
    </row>
    <row r="171" customFormat="false" ht="15" hidden="false" customHeight="false" outlineLevel="0" collapsed="false">
      <c r="A171" s="18"/>
      <c r="B171" s="19"/>
      <c r="C171" s="19"/>
      <c r="D171" s="19"/>
      <c r="E171" s="37"/>
      <c r="F171" s="38"/>
      <c r="G171" s="39" t="str">
        <f aca="false">IF(OR(E171="",F171=""),"",E171*100-F171)</f>
        <v/>
      </c>
      <c r="H171" s="22"/>
      <c r="I171" s="12" t="str">
        <f aca="false">IF(OR(H171="",F171="",N(F171)=0),"",H171/(F171/100))</f>
        <v/>
      </c>
      <c r="J171" s="40" t="str">
        <f aca="false">IF(G171="","",IF(AND(G171&gt;=$B$5,F171&gt;=5,F171&lt;=95),"YES","NO"))</f>
        <v/>
      </c>
      <c r="K171" s="19"/>
      <c r="L171" s="19"/>
      <c r="M171" s="18"/>
      <c r="N171" s="10" t="str">
        <f aca="false">IF(L171="Won",I171-H171,IF(L171="Lost",-H171,""))</f>
        <v/>
      </c>
      <c r="O171" s="19"/>
    </row>
    <row r="172" customFormat="false" ht="15" hidden="false" customHeight="false" outlineLevel="0" collapsed="false">
      <c r="A172" s="18"/>
      <c r="B172" s="19"/>
      <c r="C172" s="19"/>
      <c r="D172" s="19"/>
      <c r="E172" s="37"/>
      <c r="F172" s="38"/>
      <c r="G172" s="39" t="str">
        <f aca="false">IF(OR(E172="",F172=""),"",E172*100-F172)</f>
        <v/>
      </c>
      <c r="H172" s="22"/>
      <c r="I172" s="12" t="str">
        <f aca="false">IF(OR(H172="",F172="",N(F172)=0),"",H172/(F172/100))</f>
        <v/>
      </c>
      <c r="J172" s="40" t="str">
        <f aca="false">IF(G172="","",IF(AND(G172&gt;=$B$5,F172&gt;=5,F172&lt;=95),"YES","NO"))</f>
        <v/>
      </c>
      <c r="K172" s="19"/>
      <c r="L172" s="19"/>
      <c r="M172" s="18"/>
      <c r="N172" s="10" t="str">
        <f aca="false">IF(L172="Won",I172-H172,IF(L172="Lost",-H172,""))</f>
        <v/>
      </c>
      <c r="O172" s="19"/>
    </row>
    <row r="173" customFormat="false" ht="15" hidden="false" customHeight="false" outlineLevel="0" collapsed="false">
      <c r="A173" s="18"/>
      <c r="B173" s="19"/>
      <c r="C173" s="19"/>
      <c r="D173" s="19"/>
      <c r="E173" s="37"/>
      <c r="F173" s="38"/>
      <c r="G173" s="39" t="str">
        <f aca="false">IF(OR(E173="",F173=""),"",E173*100-F173)</f>
        <v/>
      </c>
      <c r="H173" s="22"/>
      <c r="I173" s="12" t="str">
        <f aca="false">IF(OR(H173="",F173="",N(F173)=0),"",H173/(F173/100))</f>
        <v/>
      </c>
      <c r="J173" s="40" t="str">
        <f aca="false">IF(G173="","",IF(AND(G173&gt;=$B$5,F173&gt;=5,F173&lt;=95),"YES","NO"))</f>
        <v/>
      </c>
      <c r="K173" s="19"/>
      <c r="L173" s="19"/>
      <c r="M173" s="18"/>
      <c r="N173" s="10" t="str">
        <f aca="false">IF(L173="Won",I173-H173,IF(L173="Lost",-H173,""))</f>
        <v/>
      </c>
      <c r="O173" s="19"/>
    </row>
    <row r="174" customFormat="false" ht="15" hidden="false" customHeight="false" outlineLevel="0" collapsed="false">
      <c r="A174" s="18"/>
      <c r="B174" s="19"/>
      <c r="C174" s="19"/>
      <c r="D174" s="19"/>
      <c r="E174" s="37"/>
      <c r="F174" s="38"/>
      <c r="G174" s="39" t="str">
        <f aca="false">IF(OR(E174="",F174=""),"",E174*100-F174)</f>
        <v/>
      </c>
      <c r="H174" s="22"/>
      <c r="I174" s="12" t="str">
        <f aca="false">IF(OR(H174="",F174="",N(F174)=0),"",H174/(F174/100))</f>
        <v/>
      </c>
      <c r="J174" s="40" t="str">
        <f aca="false">IF(G174="","",IF(AND(G174&gt;=$B$5,F174&gt;=5,F174&lt;=95),"YES","NO"))</f>
        <v/>
      </c>
      <c r="K174" s="19"/>
      <c r="L174" s="19"/>
      <c r="M174" s="18"/>
      <c r="N174" s="10" t="str">
        <f aca="false">IF(L174="Won",I174-H174,IF(L174="Lost",-H174,""))</f>
        <v/>
      </c>
      <c r="O174" s="19"/>
    </row>
    <row r="175" customFormat="false" ht="15" hidden="false" customHeight="false" outlineLevel="0" collapsed="false">
      <c r="A175" s="18"/>
      <c r="B175" s="19"/>
      <c r="C175" s="19"/>
      <c r="D175" s="19"/>
      <c r="E175" s="37"/>
      <c r="F175" s="38"/>
      <c r="G175" s="39" t="str">
        <f aca="false">IF(OR(E175="",F175=""),"",E175*100-F175)</f>
        <v/>
      </c>
      <c r="H175" s="22"/>
      <c r="I175" s="12" t="str">
        <f aca="false">IF(OR(H175="",F175="",N(F175)=0),"",H175/(F175/100))</f>
        <v/>
      </c>
      <c r="J175" s="40" t="str">
        <f aca="false">IF(G175="","",IF(AND(G175&gt;=$B$5,F175&gt;=5,F175&lt;=95),"YES","NO"))</f>
        <v/>
      </c>
      <c r="K175" s="19"/>
      <c r="L175" s="19"/>
      <c r="M175" s="18"/>
      <c r="N175" s="10" t="str">
        <f aca="false">IF(L175="Won",I175-H175,IF(L175="Lost",-H175,""))</f>
        <v/>
      </c>
      <c r="O175" s="19"/>
    </row>
    <row r="176" customFormat="false" ht="15" hidden="false" customHeight="false" outlineLevel="0" collapsed="false">
      <c r="A176" s="18"/>
      <c r="B176" s="19"/>
      <c r="C176" s="19"/>
      <c r="D176" s="19"/>
      <c r="E176" s="37"/>
      <c r="F176" s="38"/>
      <c r="G176" s="39" t="str">
        <f aca="false">IF(OR(E176="",F176=""),"",E176*100-F176)</f>
        <v/>
      </c>
      <c r="H176" s="22"/>
      <c r="I176" s="12" t="str">
        <f aca="false">IF(OR(H176="",F176="",N(F176)=0),"",H176/(F176/100))</f>
        <v/>
      </c>
      <c r="J176" s="40" t="str">
        <f aca="false">IF(G176="","",IF(AND(G176&gt;=$B$5,F176&gt;=5,F176&lt;=95),"YES","NO"))</f>
        <v/>
      </c>
      <c r="K176" s="19"/>
      <c r="L176" s="19"/>
      <c r="M176" s="18"/>
      <c r="N176" s="10" t="str">
        <f aca="false">IF(L176="Won",I176-H176,IF(L176="Lost",-H176,""))</f>
        <v/>
      </c>
      <c r="O176" s="19"/>
    </row>
    <row r="177" customFormat="false" ht="15" hidden="false" customHeight="false" outlineLevel="0" collapsed="false">
      <c r="A177" s="18"/>
      <c r="B177" s="19"/>
      <c r="C177" s="19"/>
      <c r="D177" s="19"/>
      <c r="E177" s="37"/>
      <c r="F177" s="38"/>
      <c r="G177" s="39" t="str">
        <f aca="false">IF(OR(E177="",F177=""),"",E177*100-F177)</f>
        <v/>
      </c>
      <c r="H177" s="22"/>
      <c r="I177" s="12" t="str">
        <f aca="false">IF(OR(H177="",F177="",N(F177)=0),"",H177/(F177/100))</f>
        <v/>
      </c>
      <c r="J177" s="40" t="str">
        <f aca="false">IF(G177="","",IF(AND(G177&gt;=$B$5,F177&gt;=5,F177&lt;=95),"YES","NO"))</f>
        <v/>
      </c>
      <c r="K177" s="19"/>
      <c r="L177" s="19"/>
      <c r="M177" s="18"/>
      <c r="N177" s="10" t="str">
        <f aca="false">IF(L177="Won",I177-H177,IF(L177="Lost",-H177,""))</f>
        <v/>
      </c>
      <c r="O177" s="19"/>
    </row>
    <row r="178" customFormat="false" ht="15" hidden="false" customHeight="false" outlineLevel="0" collapsed="false">
      <c r="A178" s="18"/>
      <c r="B178" s="19"/>
      <c r="C178" s="19"/>
      <c r="D178" s="19"/>
      <c r="E178" s="37"/>
      <c r="F178" s="38"/>
      <c r="G178" s="39" t="str">
        <f aca="false">IF(OR(E178="",F178=""),"",E178*100-F178)</f>
        <v/>
      </c>
      <c r="H178" s="22"/>
      <c r="I178" s="12" t="str">
        <f aca="false">IF(OR(H178="",F178="",N(F178)=0),"",H178/(F178/100))</f>
        <v/>
      </c>
      <c r="J178" s="40" t="str">
        <f aca="false">IF(G178="","",IF(AND(G178&gt;=$B$5,F178&gt;=5,F178&lt;=95),"YES","NO"))</f>
        <v/>
      </c>
      <c r="K178" s="19"/>
      <c r="L178" s="19"/>
      <c r="M178" s="18"/>
      <c r="N178" s="10" t="str">
        <f aca="false">IF(L178="Won",I178-H178,IF(L178="Lost",-H178,""))</f>
        <v/>
      </c>
      <c r="O178" s="19"/>
    </row>
    <row r="179" customFormat="false" ht="15" hidden="false" customHeight="false" outlineLevel="0" collapsed="false">
      <c r="A179" s="18"/>
      <c r="B179" s="19"/>
      <c r="C179" s="19"/>
      <c r="D179" s="19"/>
      <c r="E179" s="37"/>
      <c r="F179" s="38"/>
      <c r="G179" s="39" t="str">
        <f aca="false">IF(OR(E179="",F179=""),"",E179*100-F179)</f>
        <v/>
      </c>
      <c r="H179" s="22"/>
      <c r="I179" s="12" t="str">
        <f aca="false">IF(OR(H179="",F179="",N(F179)=0),"",H179/(F179/100))</f>
        <v/>
      </c>
      <c r="J179" s="40" t="str">
        <f aca="false">IF(G179="","",IF(AND(G179&gt;=$B$5,F179&gt;=5,F179&lt;=95),"YES","NO"))</f>
        <v/>
      </c>
      <c r="K179" s="19"/>
      <c r="L179" s="19"/>
      <c r="M179" s="18"/>
      <c r="N179" s="10" t="str">
        <f aca="false">IF(L179="Won",I179-H179,IF(L179="Lost",-H179,""))</f>
        <v/>
      </c>
      <c r="O179" s="19"/>
    </row>
    <row r="180" customFormat="false" ht="15" hidden="false" customHeight="false" outlineLevel="0" collapsed="false">
      <c r="A180" s="18"/>
      <c r="B180" s="19"/>
      <c r="C180" s="19"/>
      <c r="D180" s="19"/>
      <c r="E180" s="37"/>
      <c r="F180" s="38"/>
      <c r="G180" s="39" t="str">
        <f aca="false">IF(OR(E180="",F180=""),"",E180*100-F180)</f>
        <v/>
      </c>
      <c r="H180" s="22"/>
      <c r="I180" s="12" t="str">
        <f aca="false">IF(OR(H180="",F180="",N(F180)=0),"",H180/(F180/100))</f>
        <v/>
      </c>
      <c r="J180" s="40" t="str">
        <f aca="false">IF(G180="","",IF(AND(G180&gt;=$B$5,F180&gt;=5,F180&lt;=95),"YES","NO"))</f>
        <v/>
      </c>
      <c r="K180" s="19"/>
      <c r="L180" s="19"/>
      <c r="M180" s="18"/>
      <c r="N180" s="10" t="str">
        <f aca="false">IF(L180="Won",I180-H180,IF(L180="Lost",-H180,""))</f>
        <v/>
      </c>
      <c r="O180" s="19"/>
    </row>
    <row r="181" customFormat="false" ht="15" hidden="false" customHeight="false" outlineLevel="0" collapsed="false">
      <c r="A181" s="18"/>
      <c r="B181" s="19"/>
      <c r="C181" s="19"/>
      <c r="D181" s="19"/>
      <c r="E181" s="37"/>
      <c r="F181" s="38"/>
      <c r="G181" s="39" t="str">
        <f aca="false">IF(OR(E181="",F181=""),"",E181*100-F181)</f>
        <v/>
      </c>
      <c r="H181" s="22"/>
      <c r="I181" s="12" t="str">
        <f aca="false">IF(OR(H181="",F181="",N(F181)=0),"",H181/(F181/100))</f>
        <v/>
      </c>
      <c r="J181" s="40" t="str">
        <f aca="false">IF(G181="","",IF(AND(G181&gt;=$B$5,F181&gt;=5,F181&lt;=95),"YES","NO"))</f>
        <v/>
      </c>
      <c r="K181" s="19"/>
      <c r="L181" s="19"/>
      <c r="M181" s="18"/>
      <c r="N181" s="10" t="str">
        <f aca="false">IF(L181="Won",I181-H181,IF(L181="Lost",-H181,""))</f>
        <v/>
      </c>
      <c r="O181" s="19"/>
    </row>
    <row r="182" customFormat="false" ht="15" hidden="false" customHeight="false" outlineLevel="0" collapsed="false">
      <c r="A182" s="18"/>
      <c r="B182" s="19"/>
      <c r="C182" s="19"/>
      <c r="D182" s="19"/>
      <c r="E182" s="37"/>
      <c r="F182" s="38"/>
      <c r="G182" s="39" t="str">
        <f aca="false">IF(OR(E182="",F182=""),"",E182*100-F182)</f>
        <v/>
      </c>
      <c r="H182" s="22"/>
      <c r="I182" s="12" t="str">
        <f aca="false">IF(OR(H182="",F182="",N(F182)=0),"",H182/(F182/100))</f>
        <v/>
      </c>
      <c r="J182" s="40" t="str">
        <f aca="false">IF(G182="","",IF(AND(G182&gt;=$B$5,F182&gt;=5,F182&lt;=95),"YES","NO"))</f>
        <v/>
      </c>
      <c r="K182" s="19"/>
      <c r="L182" s="19"/>
      <c r="M182" s="18"/>
      <c r="N182" s="10" t="str">
        <f aca="false">IF(L182="Won",I182-H182,IF(L182="Lost",-H182,""))</f>
        <v/>
      </c>
      <c r="O182" s="19"/>
    </row>
    <row r="183" customFormat="false" ht="15" hidden="false" customHeight="false" outlineLevel="0" collapsed="false">
      <c r="A183" s="18"/>
      <c r="B183" s="19"/>
      <c r="C183" s="19"/>
      <c r="D183" s="19"/>
      <c r="E183" s="37"/>
      <c r="F183" s="38"/>
      <c r="G183" s="39" t="str">
        <f aca="false">IF(OR(E183="",F183=""),"",E183*100-F183)</f>
        <v/>
      </c>
      <c r="H183" s="22"/>
      <c r="I183" s="12" t="str">
        <f aca="false">IF(OR(H183="",F183="",N(F183)=0),"",H183/(F183/100))</f>
        <v/>
      </c>
      <c r="J183" s="40" t="str">
        <f aca="false">IF(G183="","",IF(AND(G183&gt;=$B$5,F183&gt;=5,F183&lt;=95),"YES","NO"))</f>
        <v/>
      </c>
      <c r="K183" s="19"/>
      <c r="L183" s="19"/>
      <c r="M183" s="18"/>
      <c r="N183" s="10" t="str">
        <f aca="false">IF(L183="Won",I183-H183,IF(L183="Lost",-H183,""))</f>
        <v/>
      </c>
      <c r="O183" s="19"/>
    </row>
    <row r="184" customFormat="false" ht="15" hidden="false" customHeight="false" outlineLevel="0" collapsed="false">
      <c r="A184" s="18"/>
      <c r="B184" s="19"/>
      <c r="C184" s="19"/>
      <c r="D184" s="19"/>
      <c r="E184" s="37"/>
      <c r="F184" s="38"/>
      <c r="G184" s="39" t="str">
        <f aca="false">IF(OR(E184="",F184=""),"",E184*100-F184)</f>
        <v/>
      </c>
      <c r="H184" s="22"/>
      <c r="I184" s="12" t="str">
        <f aca="false">IF(OR(H184="",F184="",N(F184)=0),"",H184/(F184/100))</f>
        <v/>
      </c>
      <c r="J184" s="40" t="str">
        <f aca="false">IF(G184="","",IF(AND(G184&gt;=$B$5,F184&gt;=5,F184&lt;=95),"YES","NO"))</f>
        <v/>
      </c>
      <c r="K184" s="19"/>
      <c r="L184" s="19"/>
      <c r="M184" s="18"/>
      <c r="N184" s="10" t="str">
        <f aca="false">IF(L184="Won",I184-H184,IF(L184="Lost",-H184,""))</f>
        <v/>
      </c>
      <c r="O184" s="19"/>
    </row>
    <row r="185" customFormat="false" ht="15" hidden="false" customHeight="false" outlineLevel="0" collapsed="false">
      <c r="A185" s="18"/>
      <c r="B185" s="19"/>
      <c r="C185" s="19"/>
      <c r="D185" s="19"/>
      <c r="E185" s="37"/>
      <c r="F185" s="38"/>
      <c r="G185" s="39" t="str">
        <f aca="false">IF(OR(E185="",F185=""),"",E185*100-F185)</f>
        <v/>
      </c>
      <c r="H185" s="22"/>
      <c r="I185" s="12" t="str">
        <f aca="false">IF(OR(H185="",F185="",N(F185)=0),"",H185/(F185/100))</f>
        <v/>
      </c>
      <c r="J185" s="40" t="str">
        <f aca="false">IF(G185="","",IF(AND(G185&gt;=$B$5,F185&gt;=5,F185&lt;=95),"YES","NO"))</f>
        <v/>
      </c>
      <c r="K185" s="19"/>
      <c r="L185" s="19"/>
      <c r="M185" s="18"/>
      <c r="N185" s="10" t="str">
        <f aca="false">IF(L185="Won",I185-H185,IF(L185="Lost",-H185,""))</f>
        <v/>
      </c>
      <c r="O185" s="19"/>
    </row>
    <row r="186" customFormat="false" ht="15" hidden="false" customHeight="false" outlineLevel="0" collapsed="false">
      <c r="A186" s="18"/>
      <c r="B186" s="19"/>
      <c r="C186" s="19"/>
      <c r="D186" s="19"/>
      <c r="E186" s="37"/>
      <c r="F186" s="38"/>
      <c r="G186" s="39" t="str">
        <f aca="false">IF(OR(E186="",F186=""),"",E186*100-F186)</f>
        <v/>
      </c>
      <c r="H186" s="22"/>
      <c r="I186" s="12" t="str">
        <f aca="false">IF(OR(H186="",F186="",N(F186)=0),"",H186/(F186/100))</f>
        <v/>
      </c>
      <c r="J186" s="40" t="str">
        <f aca="false">IF(G186="","",IF(AND(G186&gt;=$B$5,F186&gt;=5,F186&lt;=95),"YES","NO"))</f>
        <v/>
      </c>
      <c r="K186" s="19"/>
      <c r="L186" s="19"/>
      <c r="M186" s="18"/>
      <c r="N186" s="10" t="str">
        <f aca="false">IF(L186="Won",I186-H186,IF(L186="Lost",-H186,""))</f>
        <v/>
      </c>
      <c r="O186" s="19"/>
    </row>
    <row r="187" customFormat="false" ht="15" hidden="false" customHeight="false" outlineLevel="0" collapsed="false">
      <c r="A187" s="18"/>
      <c r="B187" s="19"/>
      <c r="C187" s="19"/>
      <c r="D187" s="19"/>
      <c r="E187" s="37"/>
      <c r="F187" s="38"/>
      <c r="G187" s="39" t="str">
        <f aca="false">IF(OR(E187="",F187=""),"",E187*100-F187)</f>
        <v/>
      </c>
      <c r="H187" s="22"/>
      <c r="I187" s="12" t="str">
        <f aca="false">IF(OR(H187="",F187="",N(F187)=0),"",H187/(F187/100))</f>
        <v/>
      </c>
      <c r="J187" s="40" t="str">
        <f aca="false">IF(G187="","",IF(AND(G187&gt;=$B$5,F187&gt;=5,F187&lt;=95),"YES","NO"))</f>
        <v/>
      </c>
      <c r="K187" s="19"/>
      <c r="L187" s="19"/>
      <c r="M187" s="18"/>
      <c r="N187" s="10" t="str">
        <f aca="false">IF(L187="Won",I187-H187,IF(L187="Lost",-H187,""))</f>
        <v/>
      </c>
      <c r="O187" s="19"/>
    </row>
    <row r="188" customFormat="false" ht="15" hidden="false" customHeight="false" outlineLevel="0" collapsed="false">
      <c r="A188" s="18"/>
      <c r="B188" s="19"/>
      <c r="C188" s="19"/>
      <c r="D188" s="19"/>
      <c r="E188" s="37"/>
      <c r="F188" s="38"/>
      <c r="G188" s="39" t="str">
        <f aca="false">IF(OR(E188="",F188=""),"",E188*100-F188)</f>
        <v/>
      </c>
      <c r="H188" s="22"/>
      <c r="I188" s="12" t="str">
        <f aca="false">IF(OR(H188="",F188="",N(F188)=0),"",H188/(F188/100))</f>
        <v/>
      </c>
      <c r="J188" s="40" t="str">
        <f aca="false">IF(G188="","",IF(AND(G188&gt;=$B$5,F188&gt;=5,F188&lt;=95),"YES","NO"))</f>
        <v/>
      </c>
      <c r="K188" s="19"/>
      <c r="L188" s="19"/>
      <c r="M188" s="18"/>
      <c r="N188" s="10" t="str">
        <f aca="false">IF(L188="Won",I188-H188,IF(L188="Lost",-H188,""))</f>
        <v/>
      </c>
      <c r="O188" s="19"/>
    </row>
    <row r="189" customFormat="false" ht="15" hidden="false" customHeight="false" outlineLevel="0" collapsed="false">
      <c r="A189" s="18"/>
      <c r="B189" s="19"/>
      <c r="C189" s="19"/>
      <c r="D189" s="19"/>
      <c r="E189" s="37"/>
      <c r="F189" s="38"/>
      <c r="G189" s="39" t="str">
        <f aca="false">IF(OR(E189="",F189=""),"",E189*100-F189)</f>
        <v/>
      </c>
      <c r="H189" s="22"/>
      <c r="I189" s="12" t="str">
        <f aca="false">IF(OR(H189="",F189="",N(F189)=0),"",H189/(F189/100))</f>
        <v/>
      </c>
      <c r="J189" s="40" t="str">
        <f aca="false">IF(G189="","",IF(AND(G189&gt;=$B$5,F189&gt;=5,F189&lt;=95),"YES","NO"))</f>
        <v/>
      </c>
      <c r="K189" s="19"/>
      <c r="L189" s="19"/>
      <c r="M189" s="18"/>
      <c r="N189" s="10" t="str">
        <f aca="false">IF(L189="Won",I189-H189,IF(L189="Lost",-H189,""))</f>
        <v/>
      </c>
      <c r="O189" s="19"/>
    </row>
    <row r="190" customFormat="false" ht="15" hidden="false" customHeight="false" outlineLevel="0" collapsed="false">
      <c r="A190" s="18"/>
      <c r="B190" s="19"/>
      <c r="C190" s="19"/>
      <c r="D190" s="19"/>
      <c r="E190" s="37"/>
      <c r="F190" s="38"/>
      <c r="G190" s="39" t="str">
        <f aca="false">IF(OR(E190="",F190=""),"",E190*100-F190)</f>
        <v/>
      </c>
      <c r="H190" s="22"/>
      <c r="I190" s="12" t="str">
        <f aca="false">IF(OR(H190="",F190="",N(F190)=0),"",H190/(F190/100))</f>
        <v/>
      </c>
      <c r="J190" s="40" t="str">
        <f aca="false">IF(G190="","",IF(AND(G190&gt;=$B$5,F190&gt;=5,F190&lt;=95),"YES","NO"))</f>
        <v/>
      </c>
      <c r="K190" s="19"/>
      <c r="L190" s="19"/>
      <c r="M190" s="18"/>
      <c r="N190" s="10" t="str">
        <f aca="false">IF(L190="Won",I190-H190,IF(L190="Lost",-H190,""))</f>
        <v/>
      </c>
      <c r="O190" s="19"/>
    </row>
    <row r="191" customFormat="false" ht="15" hidden="false" customHeight="false" outlineLevel="0" collapsed="false">
      <c r="A191" s="18"/>
      <c r="B191" s="19"/>
      <c r="C191" s="19"/>
      <c r="D191" s="19"/>
      <c r="E191" s="37"/>
      <c r="F191" s="38"/>
      <c r="G191" s="39" t="str">
        <f aca="false">IF(OR(E191="",F191=""),"",E191*100-F191)</f>
        <v/>
      </c>
      <c r="H191" s="22"/>
      <c r="I191" s="12" t="str">
        <f aca="false">IF(OR(H191="",F191="",N(F191)=0),"",H191/(F191/100))</f>
        <v/>
      </c>
      <c r="J191" s="40" t="str">
        <f aca="false">IF(G191="","",IF(AND(G191&gt;=$B$5,F191&gt;=5,F191&lt;=95),"YES","NO"))</f>
        <v/>
      </c>
      <c r="K191" s="19"/>
      <c r="L191" s="19"/>
      <c r="M191" s="18"/>
      <c r="N191" s="10" t="str">
        <f aca="false">IF(L191="Won",I191-H191,IF(L191="Lost",-H191,""))</f>
        <v/>
      </c>
      <c r="O191" s="19"/>
    </row>
    <row r="192" customFormat="false" ht="15" hidden="false" customHeight="false" outlineLevel="0" collapsed="false">
      <c r="A192" s="18"/>
      <c r="B192" s="19"/>
      <c r="C192" s="19"/>
      <c r="D192" s="19"/>
      <c r="E192" s="37"/>
      <c r="F192" s="38"/>
      <c r="G192" s="39" t="str">
        <f aca="false">IF(OR(E192="",F192=""),"",E192*100-F192)</f>
        <v/>
      </c>
      <c r="H192" s="22"/>
      <c r="I192" s="12" t="str">
        <f aca="false">IF(OR(H192="",F192="",N(F192)=0),"",H192/(F192/100))</f>
        <v/>
      </c>
      <c r="J192" s="40" t="str">
        <f aca="false">IF(G192="","",IF(AND(G192&gt;=$B$5,F192&gt;=5,F192&lt;=95),"YES","NO"))</f>
        <v/>
      </c>
      <c r="K192" s="19"/>
      <c r="L192" s="19"/>
      <c r="M192" s="18"/>
      <c r="N192" s="10" t="str">
        <f aca="false">IF(L192="Won",I192-H192,IF(L192="Lost",-H192,""))</f>
        <v/>
      </c>
      <c r="O192" s="19"/>
    </row>
    <row r="193" customFormat="false" ht="15" hidden="false" customHeight="false" outlineLevel="0" collapsed="false">
      <c r="A193" s="18"/>
      <c r="B193" s="19"/>
      <c r="C193" s="19"/>
      <c r="D193" s="19"/>
      <c r="E193" s="37"/>
      <c r="F193" s="38"/>
      <c r="G193" s="39" t="str">
        <f aca="false">IF(OR(E193="",F193=""),"",E193*100-F193)</f>
        <v/>
      </c>
      <c r="H193" s="22"/>
      <c r="I193" s="12" t="str">
        <f aca="false">IF(OR(H193="",F193="",N(F193)=0),"",H193/(F193/100))</f>
        <v/>
      </c>
      <c r="J193" s="40" t="str">
        <f aca="false">IF(G193="","",IF(AND(G193&gt;=$B$5,F193&gt;=5,F193&lt;=95),"YES","NO"))</f>
        <v/>
      </c>
      <c r="K193" s="19"/>
      <c r="L193" s="19"/>
      <c r="M193" s="18"/>
      <c r="N193" s="10" t="str">
        <f aca="false">IF(L193="Won",I193-H193,IF(L193="Lost",-H193,""))</f>
        <v/>
      </c>
      <c r="O193" s="19"/>
    </row>
    <row r="194" customFormat="false" ht="15" hidden="false" customHeight="false" outlineLevel="0" collapsed="false">
      <c r="A194" s="18"/>
      <c r="B194" s="19"/>
      <c r="C194" s="19"/>
      <c r="D194" s="19"/>
      <c r="E194" s="37"/>
      <c r="F194" s="38"/>
      <c r="G194" s="39" t="str">
        <f aca="false">IF(OR(E194="",F194=""),"",E194*100-F194)</f>
        <v/>
      </c>
      <c r="H194" s="22"/>
      <c r="I194" s="12" t="str">
        <f aca="false">IF(OR(H194="",F194="",N(F194)=0),"",H194/(F194/100))</f>
        <v/>
      </c>
      <c r="J194" s="40" t="str">
        <f aca="false">IF(G194="","",IF(AND(G194&gt;=$B$5,F194&gt;=5,F194&lt;=95),"YES","NO"))</f>
        <v/>
      </c>
      <c r="K194" s="19"/>
      <c r="L194" s="19"/>
      <c r="M194" s="18"/>
      <c r="N194" s="10" t="str">
        <f aca="false">IF(L194="Won",I194-H194,IF(L194="Lost",-H194,""))</f>
        <v/>
      </c>
      <c r="O194" s="19"/>
    </row>
    <row r="195" customFormat="false" ht="15" hidden="false" customHeight="false" outlineLevel="0" collapsed="false">
      <c r="A195" s="18"/>
      <c r="B195" s="19"/>
      <c r="C195" s="19"/>
      <c r="D195" s="19"/>
      <c r="E195" s="37"/>
      <c r="F195" s="38"/>
      <c r="G195" s="39" t="str">
        <f aca="false">IF(OR(E195="",F195=""),"",E195*100-F195)</f>
        <v/>
      </c>
      <c r="H195" s="22"/>
      <c r="I195" s="12" t="str">
        <f aca="false">IF(OR(H195="",F195="",N(F195)=0),"",H195/(F195/100))</f>
        <v/>
      </c>
      <c r="J195" s="40" t="str">
        <f aca="false">IF(G195="","",IF(AND(G195&gt;=$B$5,F195&gt;=5,F195&lt;=95),"YES","NO"))</f>
        <v/>
      </c>
      <c r="K195" s="19"/>
      <c r="L195" s="19"/>
      <c r="M195" s="18"/>
      <c r="N195" s="10" t="str">
        <f aca="false">IF(L195="Won",I195-H195,IF(L195="Lost",-H195,""))</f>
        <v/>
      </c>
      <c r="O195" s="19"/>
    </row>
    <row r="196" customFormat="false" ht="15" hidden="false" customHeight="false" outlineLevel="0" collapsed="false">
      <c r="A196" s="18"/>
      <c r="B196" s="19"/>
      <c r="C196" s="19"/>
      <c r="D196" s="19"/>
      <c r="E196" s="37"/>
      <c r="F196" s="38"/>
      <c r="G196" s="39" t="str">
        <f aca="false">IF(OR(E196="",F196=""),"",E196*100-F196)</f>
        <v/>
      </c>
      <c r="H196" s="22"/>
      <c r="I196" s="12" t="str">
        <f aca="false">IF(OR(H196="",F196="",N(F196)=0),"",H196/(F196/100))</f>
        <v/>
      </c>
      <c r="J196" s="40" t="str">
        <f aca="false">IF(G196="","",IF(AND(G196&gt;=$B$5,F196&gt;=5,F196&lt;=95),"YES","NO"))</f>
        <v/>
      </c>
      <c r="K196" s="19"/>
      <c r="L196" s="19"/>
      <c r="M196" s="18"/>
      <c r="N196" s="10" t="str">
        <f aca="false">IF(L196="Won",I196-H196,IF(L196="Lost",-H196,""))</f>
        <v/>
      </c>
      <c r="O196" s="19"/>
    </row>
    <row r="197" customFormat="false" ht="15" hidden="false" customHeight="false" outlineLevel="0" collapsed="false">
      <c r="A197" s="18"/>
      <c r="B197" s="19"/>
      <c r="C197" s="19"/>
      <c r="D197" s="19"/>
      <c r="E197" s="37"/>
      <c r="F197" s="38"/>
      <c r="G197" s="39" t="str">
        <f aca="false">IF(OR(E197="",F197=""),"",E197*100-F197)</f>
        <v/>
      </c>
      <c r="H197" s="22"/>
      <c r="I197" s="12" t="str">
        <f aca="false">IF(OR(H197="",F197="",N(F197)=0),"",H197/(F197/100))</f>
        <v/>
      </c>
      <c r="J197" s="40" t="str">
        <f aca="false">IF(G197="","",IF(AND(G197&gt;=$B$5,F197&gt;=5,F197&lt;=95),"YES","NO"))</f>
        <v/>
      </c>
      <c r="K197" s="19"/>
      <c r="L197" s="19"/>
      <c r="M197" s="18"/>
      <c r="N197" s="10" t="str">
        <f aca="false">IF(L197="Won",I197-H197,IF(L197="Lost",-H197,""))</f>
        <v/>
      </c>
      <c r="O197" s="19"/>
    </row>
    <row r="198" customFormat="false" ht="15" hidden="false" customHeight="false" outlineLevel="0" collapsed="false">
      <c r="A198" s="18"/>
      <c r="B198" s="19"/>
      <c r="C198" s="19"/>
      <c r="D198" s="19"/>
      <c r="E198" s="37"/>
      <c r="F198" s="38"/>
      <c r="G198" s="39" t="str">
        <f aca="false">IF(OR(E198="",F198=""),"",E198*100-F198)</f>
        <v/>
      </c>
      <c r="H198" s="22"/>
      <c r="I198" s="12" t="str">
        <f aca="false">IF(OR(H198="",F198="",N(F198)=0),"",H198/(F198/100))</f>
        <v/>
      </c>
      <c r="J198" s="40" t="str">
        <f aca="false">IF(G198="","",IF(AND(G198&gt;=$B$5,F198&gt;=5,F198&lt;=95),"YES","NO"))</f>
        <v/>
      </c>
      <c r="K198" s="19"/>
      <c r="L198" s="19"/>
      <c r="M198" s="18"/>
      <c r="N198" s="10" t="str">
        <f aca="false">IF(L198="Won",I198-H198,IF(L198="Lost",-H198,""))</f>
        <v/>
      </c>
      <c r="O198" s="19"/>
    </row>
    <row r="199" customFormat="false" ht="15" hidden="false" customHeight="false" outlineLevel="0" collapsed="false">
      <c r="A199" s="18"/>
      <c r="B199" s="19"/>
      <c r="C199" s="19"/>
      <c r="D199" s="19"/>
      <c r="E199" s="37"/>
      <c r="F199" s="38"/>
      <c r="G199" s="39" t="str">
        <f aca="false">IF(OR(E199="",F199=""),"",E199*100-F199)</f>
        <v/>
      </c>
      <c r="H199" s="22"/>
      <c r="I199" s="12" t="str">
        <f aca="false">IF(OR(H199="",F199="",N(F199)=0),"",H199/(F199/100))</f>
        <v/>
      </c>
      <c r="J199" s="40" t="str">
        <f aca="false">IF(G199="","",IF(AND(G199&gt;=$B$5,F199&gt;=5,F199&lt;=95),"YES","NO"))</f>
        <v/>
      </c>
      <c r="K199" s="19"/>
      <c r="L199" s="19"/>
      <c r="M199" s="18"/>
      <c r="N199" s="10" t="str">
        <f aca="false">IF(L199="Won",I199-H199,IF(L199="Lost",-H199,""))</f>
        <v/>
      </c>
      <c r="O199" s="19"/>
    </row>
    <row r="200" customFormat="false" ht="15" hidden="false" customHeight="false" outlineLevel="0" collapsed="false">
      <c r="A200" s="18"/>
      <c r="B200" s="19"/>
      <c r="C200" s="19"/>
      <c r="D200" s="19"/>
      <c r="E200" s="37"/>
      <c r="F200" s="38"/>
      <c r="G200" s="39" t="str">
        <f aca="false">IF(OR(E200="",F200=""),"",E200*100-F200)</f>
        <v/>
      </c>
      <c r="H200" s="22"/>
      <c r="I200" s="12" t="str">
        <f aca="false">IF(OR(H200="",F200="",N(F200)=0),"",H200/(F200/100))</f>
        <v/>
      </c>
      <c r="J200" s="40" t="str">
        <f aca="false">IF(G200="","",IF(AND(G200&gt;=$B$5,F200&gt;=5,F200&lt;=95),"YES","NO"))</f>
        <v/>
      </c>
      <c r="K200" s="19"/>
      <c r="L200" s="19"/>
      <c r="M200" s="18"/>
      <c r="N200" s="10" t="str">
        <f aca="false">IF(L200="Won",I200-H200,IF(L200="Lost",-H200,""))</f>
        <v/>
      </c>
      <c r="O200" s="19"/>
    </row>
    <row r="201" customFormat="false" ht="15" hidden="false" customHeight="false" outlineLevel="0" collapsed="false">
      <c r="A201" s="18"/>
      <c r="B201" s="19"/>
      <c r="C201" s="19"/>
      <c r="D201" s="19"/>
      <c r="E201" s="37"/>
      <c r="F201" s="38"/>
      <c r="G201" s="39" t="str">
        <f aca="false">IF(OR(E201="",F201=""),"",E201*100-F201)</f>
        <v/>
      </c>
      <c r="H201" s="22"/>
      <c r="I201" s="12" t="str">
        <f aca="false">IF(OR(H201="",F201="",N(F201)=0),"",H201/(F201/100))</f>
        <v/>
      </c>
      <c r="J201" s="40" t="str">
        <f aca="false">IF(G201="","",IF(AND(G201&gt;=$B$5,F201&gt;=5,F201&lt;=95),"YES","NO"))</f>
        <v/>
      </c>
      <c r="K201" s="19"/>
      <c r="L201" s="19"/>
      <c r="M201" s="18"/>
      <c r="N201" s="10" t="str">
        <f aca="false">IF(L201="Won",I201-H201,IF(L201="Lost",-H201,""))</f>
        <v/>
      </c>
      <c r="O201" s="19"/>
    </row>
    <row r="202" customFormat="false" ht="15" hidden="false" customHeight="false" outlineLevel="0" collapsed="false">
      <c r="A202" s="18"/>
      <c r="B202" s="19"/>
      <c r="C202" s="19"/>
      <c r="D202" s="19"/>
      <c r="E202" s="37"/>
      <c r="F202" s="38"/>
      <c r="G202" s="39" t="str">
        <f aca="false">IF(OR(E202="",F202=""),"",E202*100-F202)</f>
        <v/>
      </c>
      <c r="H202" s="22"/>
      <c r="I202" s="12" t="str">
        <f aca="false">IF(OR(H202="",F202="",N(F202)=0),"",H202/(F202/100))</f>
        <v/>
      </c>
      <c r="J202" s="40" t="str">
        <f aca="false">IF(G202="","",IF(AND(G202&gt;=$B$5,F202&gt;=5,F202&lt;=95),"YES","NO"))</f>
        <v/>
      </c>
      <c r="K202" s="19"/>
      <c r="L202" s="19"/>
      <c r="M202" s="18"/>
      <c r="N202" s="10" t="str">
        <f aca="false">IF(L202="Won",I202-H202,IF(L202="Lost",-H202,""))</f>
        <v/>
      </c>
      <c r="O202" s="19"/>
    </row>
    <row r="203" customFormat="false" ht="15" hidden="false" customHeight="false" outlineLevel="0" collapsed="false">
      <c r="A203" s="18"/>
      <c r="B203" s="19"/>
      <c r="C203" s="19"/>
      <c r="D203" s="19"/>
      <c r="E203" s="37"/>
      <c r="F203" s="38"/>
      <c r="G203" s="39" t="str">
        <f aca="false">IF(OR(E203="",F203=""),"",E203*100-F203)</f>
        <v/>
      </c>
      <c r="H203" s="22"/>
      <c r="I203" s="12" t="str">
        <f aca="false">IF(OR(H203="",F203="",N(F203)=0),"",H203/(F203/100))</f>
        <v/>
      </c>
      <c r="J203" s="40" t="str">
        <f aca="false">IF(G203="","",IF(AND(G203&gt;=$B$5,F203&gt;=5,F203&lt;=95),"YES","NO"))</f>
        <v/>
      </c>
      <c r="K203" s="19"/>
      <c r="L203" s="19"/>
      <c r="M203" s="18"/>
      <c r="N203" s="10" t="str">
        <f aca="false">IF(L203="Won",I203-H203,IF(L203="Lost",-H203,""))</f>
        <v/>
      </c>
      <c r="O203" s="19"/>
    </row>
    <row r="204" customFormat="false" ht="15" hidden="false" customHeight="false" outlineLevel="0" collapsed="false">
      <c r="A204" s="18"/>
      <c r="B204" s="19"/>
      <c r="C204" s="19"/>
      <c r="D204" s="19"/>
      <c r="E204" s="37"/>
      <c r="F204" s="38"/>
      <c r="G204" s="39" t="str">
        <f aca="false">IF(OR(E204="",F204=""),"",E204*100-F204)</f>
        <v/>
      </c>
      <c r="H204" s="22"/>
      <c r="I204" s="12" t="str">
        <f aca="false">IF(OR(H204="",F204="",N(F204)=0),"",H204/(F204/100))</f>
        <v/>
      </c>
      <c r="J204" s="40" t="str">
        <f aca="false">IF(G204="","",IF(AND(G204&gt;=$B$5,F204&gt;=5,F204&lt;=95),"YES","NO"))</f>
        <v/>
      </c>
      <c r="K204" s="19"/>
      <c r="L204" s="19"/>
      <c r="M204" s="18"/>
      <c r="N204" s="10" t="str">
        <f aca="false">IF(L204="Won",I204-H204,IF(L204="Lost",-H204,""))</f>
        <v/>
      </c>
      <c r="O204" s="19"/>
    </row>
    <row r="205" customFormat="false" ht="15" hidden="false" customHeight="false" outlineLevel="0" collapsed="false">
      <c r="A205" s="18"/>
      <c r="B205" s="19"/>
      <c r="C205" s="19"/>
      <c r="D205" s="19"/>
      <c r="E205" s="37"/>
      <c r="F205" s="38"/>
      <c r="G205" s="39" t="str">
        <f aca="false">IF(OR(E205="",F205=""),"",E205*100-F205)</f>
        <v/>
      </c>
      <c r="H205" s="22"/>
      <c r="I205" s="12" t="str">
        <f aca="false">IF(OR(H205="",F205="",N(F205)=0),"",H205/(F205/100))</f>
        <v/>
      </c>
      <c r="J205" s="40" t="str">
        <f aca="false">IF(G205="","",IF(AND(G205&gt;=$B$5,F205&gt;=5,F205&lt;=95),"YES","NO"))</f>
        <v/>
      </c>
      <c r="K205" s="19"/>
      <c r="L205" s="19"/>
      <c r="M205" s="18"/>
      <c r="N205" s="10" t="str">
        <f aca="false">IF(L205="Won",I205-H205,IF(L205="Lost",-H205,""))</f>
        <v/>
      </c>
      <c r="O205" s="19"/>
    </row>
    <row r="206" customFormat="false" ht="15" hidden="false" customHeight="false" outlineLevel="0" collapsed="false">
      <c r="A206" s="18"/>
      <c r="B206" s="19"/>
      <c r="C206" s="19"/>
      <c r="D206" s="19"/>
      <c r="E206" s="37"/>
      <c r="F206" s="38"/>
      <c r="G206" s="39" t="str">
        <f aca="false">IF(OR(E206="",F206=""),"",E206*100-F206)</f>
        <v/>
      </c>
      <c r="H206" s="22"/>
      <c r="I206" s="12" t="str">
        <f aca="false">IF(OR(H206="",F206="",N(F206)=0),"",H206/(F206/100))</f>
        <v/>
      </c>
      <c r="J206" s="40" t="str">
        <f aca="false">IF(G206="","",IF(AND(G206&gt;=$B$5,F206&gt;=5,F206&lt;=95),"YES","NO"))</f>
        <v/>
      </c>
      <c r="K206" s="19"/>
      <c r="L206" s="19"/>
      <c r="M206" s="18"/>
      <c r="N206" s="10" t="str">
        <f aca="false">IF(L206="Won",I206-H206,IF(L206="Lost",-H206,""))</f>
        <v/>
      </c>
      <c r="O206" s="19"/>
    </row>
    <row r="207" customFormat="false" ht="15" hidden="false" customHeight="false" outlineLevel="0" collapsed="false">
      <c r="A207" s="18"/>
      <c r="B207" s="19"/>
      <c r="C207" s="19"/>
      <c r="D207" s="19"/>
      <c r="E207" s="37"/>
      <c r="F207" s="38"/>
      <c r="G207" s="39" t="str">
        <f aca="false">IF(OR(E207="",F207=""),"",E207*100-F207)</f>
        <v/>
      </c>
      <c r="H207" s="22"/>
      <c r="I207" s="12" t="str">
        <f aca="false">IF(OR(H207="",F207="",N(F207)=0),"",H207/(F207/100))</f>
        <v/>
      </c>
      <c r="J207" s="40" t="str">
        <f aca="false">IF(G207="","",IF(AND(G207&gt;=$B$5,F207&gt;=5,F207&lt;=95),"YES","NO"))</f>
        <v/>
      </c>
      <c r="K207" s="19"/>
      <c r="L207" s="19"/>
      <c r="M207" s="18"/>
      <c r="N207" s="10" t="str">
        <f aca="false">IF(L207="Won",I207-H207,IF(L207="Lost",-H207,""))</f>
        <v/>
      </c>
      <c r="O207" s="19"/>
    </row>
    <row r="208" customFormat="false" ht="15" hidden="false" customHeight="false" outlineLevel="0" collapsed="false">
      <c r="A208" s="18"/>
      <c r="B208" s="19"/>
      <c r="C208" s="19"/>
      <c r="D208" s="19"/>
      <c r="E208" s="37"/>
      <c r="F208" s="38"/>
      <c r="G208" s="39" t="str">
        <f aca="false">IF(OR(E208="",F208=""),"",E208*100-F208)</f>
        <v/>
      </c>
      <c r="H208" s="22"/>
      <c r="I208" s="12" t="str">
        <f aca="false">IF(OR(H208="",F208="",N(F208)=0),"",H208/(F208/100))</f>
        <v/>
      </c>
      <c r="J208" s="40" t="str">
        <f aca="false">IF(G208="","",IF(AND(G208&gt;=$B$5,F208&gt;=5,F208&lt;=95),"YES","NO"))</f>
        <v/>
      </c>
      <c r="K208" s="19"/>
      <c r="L208" s="19"/>
      <c r="M208" s="18"/>
      <c r="N208" s="10" t="str">
        <f aca="false">IF(L208="Won",I208-H208,IF(L208="Lost",-H208,""))</f>
        <v/>
      </c>
      <c r="O208" s="19"/>
    </row>
  </sheetData>
  <conditionalFormatting sqref="J9:J208">
    <cfRule type="cellIs" priority="2" operator="equal" aboveAverage="0" equalAverage="0" bottom="0" percent="0" rank="0" text="" dxfId="0">
      <formula>"YES"</formula>
    </cfRule>
    <cfRule type="cellIs" priority="3" operator="equal" aboveAverage="0" equalAverage="0" bottom="0" percent="0" rank="0" text="" dxfId="1">
      <formula>"NO"</formula>
    </cfRule>
  </conditionalFormatting>
  <conditionalFormatting sqref="N9:N208">
    <cfRule type="cellIs" priority="4" operator="greaterThan" aboveAverage="0" equalAverage="0" bottom="0" percent="0" rank="0" text="" dxfId="0">
      <formula>0</formula>
    </cfRule>
    <cfRule type="cellIs" priority="5" operator="lessThan" aboveAverage="0" equalAverage="0" bottom="0" percent="0" rank="0" text="" dxfId="1">
      <formula>0</formula>
    </cfRule>
  </conditionalFormatting>
  <dataValidations count="2">
    <dataValidation allowBlank="true" errorStyle="stop" operator="between" showDropDown="false" showErrorMessage="false" showInputMessage="false" sqref="D9:D208" type="list">
      <formula1>"YES,NO"</formula1>
      <formula2>0</formula2>
    </dataValidation>
    <dataValidation allowBlank="true" errorStyle="stop" operator="between" showDropDown="false" showErrorMessage="false" showInputMessage="false" sqref="L9:L208" type="list">
      <formula1>"Won,Lost,Open"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2026-10-17T11:57:55Z</dcterms:created>
  <dc:creator>openpyxl</dc:creator>
  <dc:description/>
  <dc:language>en-US</dc:language>
  <cp:lastModifiedBy/>
  <dcterms:modified xsi:type="dcterms:W3CDTF">2026-10-17T11:57:55Z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